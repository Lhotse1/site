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manufac-prod\"/>
    </mc:Choice>
  </mc:AlternateContent>
  <xr:revisionPtr revIDLastSave="0" documentId="8_{C421A002-CD9D-4B51-B27C-BF6427E64B98}" xr6:coauthVersionLast="47" xr6:coauthVersionMax="47" xr10:uidLastSave="{00000000-0000-0000-0000-000000000000}"/>
  <bookViews>
    <workbookView xWindow="-120" yWindow="-120" windowWidth="19440" windowHeight="15000" xr2:uid="{BC46A921-F0CC-497D-BFC1-C9CCB1F490E6}"/>
  </bookViews>
  <sheets>
    <sheet name="Report" sheetId="5" r:id="rId1"/>
    <sheet name="Line Productivity" sheetId="1" r:id="rId2"/>
    <sheet name="Products" sheetId="2" r:id="rId3"/>
    <sheet name="Downtime factors" sheetId="3" r:id="rId4"/>
    <sheet name="Line downtime" sheetId="4" r:id="rId5"/>
  </sheets>
  <calcPr calcId="191029"/>
  <pivotCaches>
    <pivotCache cacheId="5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9" i="5" l="1"/>
  <c r="F29" i="5"/>
  <c r="E29" i="5"/>
  <c r="D29" i="5"/>
  <c r="C29" i="5"/>
  <c r="G28" i="5"/>
  <c r="F28" i="5"/>
  <c r="E28" i="5"/>
  <c r="D28" i="5"/>
  <c r="C28" i="5"/>
  <c r="G27" i="5"/>
  <c r="F27" i="5"/>
  <c r="E27" i="5"/>
  <c r="D27" i="5"/>
  <c r="C27" i="5"/>
  <c r="G26" i="5"/>
  <c r="F26" i="5"/>
  <c r="E26" i="5"/>
  <c r="D26" i="5"/>
  <c r="C26" i="5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E15" i="3"/>
  <c r="E7" i="3"/>
  <c r="E12" i="3"/>
  <c r="E6" i="3"/>
  <c r="E10" i="3"/>
  <c r="E4" i="3"/>
  <c r="E5" i="3"/>
  <c r="E8" i="3"/>
  <c r="E14" i="3"/>
  <c r="E11" i="3"/>
  <c r="E13" i="3"/>
  <c r="E9" i="3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F10" i="3" l="1"/>
  <c r="F7" i="3"/>
  <c r="F14" i="3"/>
  <c r="F15" i="3"/>
  <c r="F6" i="3"/>
  <c r="G6" i="3" s="1"/>
  <c r="F12" i="3"/>
  <c r="F4" i="3"/>
  <c r="F5" i="3"/>
  <c r="F8" i="3"/>
  <c r="G8" i="3"/>
  <c r="F11" i="3"/>
  <c r="F13" i="3"/>
  <c r="F9" i="3"/>
  <c r="G9" i="3"/>
  <c r="G11" i="3" l="1"/>
  <c r="G15" i="3"/>
  <c r="G4" i="3"/>
  <c r="G5" i="3"/>
  <c r="G13" i="3"/>
  <c r="G7" i="3"/>
  <c r="G12" i="3"/>
  <c r="G14" i="3"/>
  <c r="G10" i="3"/>
</calcChain>
</file>

<file path=xl/sharedStrings.xml><?xml version="1.0" encoding="utf-8"?>
<sst xmlns="http://schemas.openxmlformats.org/spreadsheetml/2006/main" count="171" uniqueCount="65">
  <si>
    <t>Date</t>
  </si>
  <si>
    <t>Product</t>
  </si>
  <si>
    <t>Batch</t>
  </si>
  <si>
    <t>Operator</t>
  </si>
  <si>
    <t>Start Time</t>
  </si>
  <si>
    <t>End Time</t>
  </si>
  <si>
    <t>OR-600</t>
  </si>
  <si>
    <t>Mac</t>
  </si>
  <si>
    <t>LE-600</t>
  </si>
  <si>
    <t>Charlie</t>
  </si>
  <si>
    <t>CO-600</t>
  </si>
  <si>
    <t>Dee</t>
  </si>
  <si>
    <t>Dennis</t>
  </si>
  <si>
    <t>DC-600</t>
  </si>
  <si>
    <t>RB-600</t>
  </si>
  <si>
    <t>CO-2L</t>
  </si>
  <si>
    <t>Flavor</t>
  </si>
  <si>
    <t>Size</t>
  </si>
  <si>
    <t>Min batch time</t>
  </si>
  <si>
    <t>Orange</t>
  </si>
  <si>
    <t>600 ml</t>
  </si>
  <si>
    <t>Lemon lime</t>
  </si>
  <si>
    <t>Cola</t>
  </si>
  <si>
    <t>Diet Cola</t>
  </si>
  <si>
    <t>Root Beer</t>
  </si>
  <si>
    <t>2 L</t>
  </si>
  <si>
    <t>Factor</t>
  </si>
  <si>
    <t>Description</t>
  </si>
  <si>
    <t>Operator Error</t>
  </si>
  <si>
    <t>Emergency stop</t>
  </si>
  <si>
    <t>No</t>
  </si>
  <si>
    <t>Batch change</t>
  </si>
  <si>
    <t>Yes</t>
  </si>
  <si>
    <t>Labeling error</t>
  </si>
  <si>
    <t>Inventory shortage</t>
  </si>
  <si>
    <t>Product spill</t>
  </si>
  <si>
    <t>Machine adjustment</t>
  </si>
  <si>
    <t>Machine failure</t>
  </si>
  <si>
    <t>Batch coding error</t>
  </si>
  <si>
    <t>Conveyor belt jam</t>
  </si>
  <si>
    <t>Calibration error</t>
  </si>
  <si>
    <t>Label switch</t>
  </si>
  <si>
    <t>Other</t>
  </si>
  <si>
    <t>Downtime factor</t>
  </si>
  <si>
    <t>Batch Time(Mins)</t>
  </si>
  <si>
    <t>Min Batch Time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</si>
  <si>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</si>
  <si>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</si>
  <si>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</si>
  <si>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</si>
  <si>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</si>
  <si>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</si>
  <si>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</si>
  <si>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</si>
  <si>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</si>
  <si>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</si>
  <si>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</si>
  <si>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</si>
  <si>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Grand Total</t>
  </si>
  <si>
    <t xml:space="preserve">Efficiency </t>
  </si>
  <si>
    <t>Downtime</t>
  </si>
  <si>
    <t>Pareto</t>
  </si>
  <si>
    <t>Downtime %</t>
  </si>
  <si>
    <t>Line Productivity &amp; Downtime Dashboard</t>
  </si>
  <si>
    <t>Efficiency by operator and downtime factors (downtime in 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</si>
</sst>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rgb="FFFFFFFF"/>
      <name val="Calibri"/>
      <family val="2"/>
      <scheme val="minor"/>
    </font>
    <font>
      <i/>
      <sz val="10"/>
      <color rgb="FF595959"/>
      <name val="Calibri"/>
      <family val="2"/>
      <scheme val="minor"/>
    </font>
    <font>
      <b/>
      <sz val="11"/>
      <color rgb="FF1F386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D9E1F2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1F3864"/>
      </bottom>
      <diagonal/>
    </border>
    <border>
      <left/>
      <right/>
      <top style="thin">
        <color rgb="FFBFBFBF"/>
      </top>
      <bottom style="thin">
        <color rgb="FF1F3864"/>
      </bottom>
      <diagonal/>
    </border>
    <border>
      <left/>
      <right style="thin">
        <color rgb="FFBFBFBF"/>
      </right>
      <top style="thin">
        <color rgb="FFBFBFBF"/>
      </top>
      <bottom style="thin">
        <color rgb="FF1F38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164" fontId="0" fillId="0" borderId="0" xfId="0" applyNumberFormat="1"/>
    <xf numFmtId="21" fontId="0" fillId="0" borderId="0" xfId="0" applyNumberFormat="1"/>
    <xf numFmtId="0" fontId="2" fillId="2" borderId="0" xfId="0" applyFont="1" applyFill="1" applyAlignment="1">
      <alignment horizontal="center"/>
    </xf>
    <xf numFmtId="0" fontId="3" fillId="2" borderId="0" xfId="0" applyFont="1" applyFill="1"/>
    <xf numFmtId="0" fontId="0" fillId="0" borderId="0" xfId="0" applyNumberFormat="1"/>
    <xf numFmtId="0" fontId="0" fillId="0" borderId="0" xfId="0" pivotButton="1"/>
    <xf numFmtId="9" fontId="0" fillId="0" borderId="0" xfId="0" applyNumberFormat="1"/>
    <xf numFmtId="9" fontId="0" fillId="0" borderId="0" xfId="1" applyFont="1" applyAlignment="1">
      <alignment horizontal="center"/>
    </xf>
    <xf numFmtId="9" fontId="0" fillId="0" borderId="0" xfId="0" applyNumberFormat="1" applyAlignment="1">
      <alignment horizontal="center"/>
    </xf>
    <xf numFmtId="0" fontId="2" fillId="0" borderId="0" xfId="0" applyFont="1"/>
    <xf numFmtId="0" fontId="2" fillId="0" borderId="0" xfId="0" applyFont="1" applyFill="1" applyAlignment="1">
      <alignment horizontal="center"/>
    </xf>
    <xf numFmtId="0" fontId="0" fillId="3" borderId="0" xfId="0" applyFill="1"/>
    <xf numFmtId="0" fontId="4" fillId="3" borderId="0" xfId="0" applyFont="1" applyFill="1" applyAlignment="1">
      <alignment horizontal="left" vertical="center"/>
    </xf>
    <xf numFmtId="0" fontId="5" fillId="0" borderId="0" xfId="0" applyFont="1" applyAlignment="1">
      <alignment vertical="center"/>
    </xf>
    <xf numFmtId="0" fontId="0" fillId="0" borderId="2" xfId="0" applyFill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0" fillId="0" borderId="5" xfId="0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6" fillId="4" borderId="7" xfId="0" applyFont="1" applyFill="1" applyBorder="1" applyAlignment="1">
      <alignment horizontal="left" vertical="center"/>
    </xf>
    <xf numFmtId="0" fontId="6" fillId="4" borderId="8" xfId="0" applyFont="1" applyFill="1" applyBorder="1" applyAlignment="1">
      <alignment horizontal="center" vertical="center"/>
    </xf>
    <xf numFmtId="0" fontId="6" fillId="4" borderId="9" xfId="0" applyFont="1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numFmt numFmtId="0" formatCode="General"/>
    </dxf>
    <dxf>
      <numFmt numFmtId="13" formatCode="0%"/>
      <alignment horizontal="center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13" formatCode="0%"/>
    </dxf>
    <dxf>
      <numFmt numFmtId="13" formatCode="0%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0" formatCode="General"/>
    </dxf>
    <dxf>
      <numFmt numFmtId="26" formatCode="hh:mm:ss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3" tint="0.89999084444715716"/>
        </patternFill>
      </fill>
    </dxf>
    <dxf>
      <numFmt numFmtId="26" formatCode="hh:mm:ss"/>
    </dxf>
    <dxf>
      <numFmt numFmtId="164" formatCode="yyyy\-mm\-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[manufac-prod.xlsx]Line Productivity!PivotTable1</c:name>
    <c:fmtId val="3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solidFill>
              <a:schemeClr val="accent1">
                <a:alpha val="97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2">
              <a:lumMod val="75000"/>
            </a:schemeClr>
          </a:solidFill>
          <a:ln>
            <a:solidFill>
              <a:schemeClr val="accent1">
                <a:alpha val="97000"/>
              </a:schemeClr>
            </a:solidFill>
          </a:ln>
          <a:effectLst/>
        </c:spP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'Line Productivity'!$L$3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accent1">
                  <a:alpha val="97000"/>
                </a:schemeClr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solidFill>
                  <a:schemeClr val="accent1">
                    <a:alpha val="97000"/>
                  </a:schemeClr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406-4A61-857C-2ECF30423D5E}"/>
              </c:ext>
            </c:extLst>
          </c:dPt>
          <c:cat>
            <c:strRef>
              <c:f>'Line Productivity'!$K$4:$K$8</c:f>
              <c:strCache>
                <c:ptCount val="4"/>
                <c:pt idx="0">
                  <c:v>Charlie</c:v>
                </c:pt>
                <c:pt idx="1">
                  <c:v>Dee</c:v>
                </c:pt>
                <c:pt idx="2">
                  <c:v>Dennis</c:v>
                </c:pt>
                <c:pt idx="3">
                  <c:v>Mac</c:v>
                </c:pt>
              </c:strCache>
            </c:strRef>
          </c:cat>
          <c:val>
            <c:numRef>
              <c:f>'Line Productivity'!$L$4:$L$8</c:f>
              <c:numCache>
                <c:formatCode>0%</c:formatCode>
                <c:ptCount val="4"/>
                <c:pt idx="0">
                  <c:v>0.66839378238341973</c:v>
                </c:pt>
                <c:pt idx="1">
                  <c:v>0.64077669902912626</c:v>
                </c:pt>
                <c:pt idx="2">
                  <c:v>0.63170731707317074</c:v>
                </c:pt>
                <c:pt idx="3">
                  <c:v>0.60941176470588243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6-4A61-857C-2ECF30423D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566053240"/>
        <c:axId val="566050776"/>
      </c:barChart>
      <c:catAx>
        <c:axId val="56605324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6050776"/>
        <c:crosses val="autoZero"/>
        <c:auto val="1"/>
        <c:lblAlgn val="ctr"/>
        <c:lblOffset val="100"/>
        <c:noMultiLvlLbl val="0"/>
      </c:catAx>
      <c:valAx>
        <c:axId val="566050776"/>
        <c:scaling>
          <c:orientation val="minMax"/>
          <c:max val="0.70000000000000007"/>
          <c:min val="0"/>
        </c:scaling>
        <c:delete val="1"/>
        <c:axPos val="t"/>
        <c:numFmt formatCode="0%" sourceLinked="1"/>
        <c:majorTickMark val="none"/>
        <c:minorTickMark val="none"/>
        <c:tickLblPos val="nextTo"/>
        <c:crossAx val="566053240"/>
        <c:crosses val="autoZero"/>
        <c:crossBetween val="between"/>
      </c:valAx>
      <c:spPr>
        <a:noFill/>
        <a:ln w="25400"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'Downtime factors'!$F$3</c:f>
              <c:strCache>
                <c:ptCount val="1"/>
                <c:pt idx="0">
                  <c:v>Downtime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62-4E7F-8427-076119E4BC61}"/>
              </c:ext>
            </c:extLst>
          </c:dPt>
          <c:dPt>
            <c:idx val="6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D862-4E7F-8427-076119E4BC61}"/>
              </c:ext>
            </c:extLst>
          </c:dPt>
          <c:dPt>
            <c:idx val="7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62-4E7F-8427-076119E4BC61}"/>
              </c:ext>
            </c:extLst>
          </c:dPt>
          <c:dPt>
            <c:idx val="8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D862-4E7F-8427-076119E4BC61}"/>
              </c:ext>
            </c:extLst>
          </c:dPt>
          <c:dPt>
            <c:idx val="9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62-4E7F-8427-076119E4BC61}"/>
              </c:ext>
            </c:extLst>
          </c:dPt>
          <c:dPt>
            <c:idx val="10"/>
            <c:invertIfNegative val="0"/>
            <c:bubble3D val="0"/>
            <c:spPr>
              <a:solidFill>
                <a:schemeClr val="bg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D862-4E7F-8427-076119E4BC61}"/>
              </c:ext>
            </c:extLst>
          </c:dPt>
          <c:dLbls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862-4E7F-8427-076119E4BC61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862-4E7F-8427-076119E4BC61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862-4E7F-8427-076119E4BC61}"/>
                </c:ext>
              </c:extLst>
            </c:dLbl>
            <c:dLbl>
              <c:idx val="8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862-4E7F-8427-076119E4BC61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862-4E7F-8427-076119E4BC61}"/>
                </c:ext>
              </c:extLst>
            </c:dLbl>
            <c:dLbl>
              <c:idx val="1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862-4E7F-8427-076119E4BC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'Downtime factors'!$C$4:$C$15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factors'!$F$4:$F$15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0.18299711815561959</c:v>
                </c:pt>
                <c:pt idx="2">
                  <c:v>0.16210374639769454</c:v>
                </c:pt>
                <c:pt idx="3">
                  <c:v>0.11527377521613832</c:v>
                </c:pt>
                <c:pt idx="4">
                  <c:v>0.10446685878962536</c:v>
                </c:pt>
                <c:pt idx="5">
                  <c:v>5.3314121037463975E-2</c:v>
                </c:pt>
                <c:pt idx="6">
                  <c:v>4.1066282420749278E-2</c:v>
                </c:pt>
                <c:pt idx="7">
                  <c:v>3.5302593659942365E-2</c:v>
                </c:pt>
                <c:pt idx="8">
                  <c:v>3.0259365994236311E-2</c:v>
                </c:pt>
                <c:pt idx="9">
                  <c:v>2.3775216138328531E-2</c:v>
                </c:pt>
                <c:pt idx="10">
                  <c:v>1.2247838616714697E-2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862-4E7F-8427-076119E4B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27"/>
        <c:axId val="647922328"/>
        <c:axId val="647919512"/>
      </c:barChart>
      <c:lineChart>
        <c:grouping val="standard"/>
        <c:varyColors val="0"/>
        <c:ser>
          <c:idx val="1"/>
          <c:order val="1"/>
          <c:tx>
            <c:strRef>
              <c:f>'Downtime factors'!$G$3</c:f>
              <c:strCache>
                <c:ptCount val="1"/>
                <c:pt idx="0">
                  <c:v>Pareto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'Downtime factors'!$C$4:$C$15</c:f>
              <c:strCache>
                <c:ptCount val="12"/>
                <c:pt idx="0">
                  <c:v>Machine adjustment</c:v>
                </c:pt>
                <c:pt idx="1">
                  <c:v>Machine failure</c:v>
                </c:pt>
                <c:pt idx="2">
                  <c:v>Inventory shortage</c:v>
                </c:pt>
                <c:pt idx="3">
                  <c:v>Batch change</c:v>
                </c:pt>
                <c:pt idx="4">
                  <c:v>Batch coding error</c:v>
                </c:pt>
                <c:pt idx="5">
                  <c:v>Other</c:v>
                </c:pt>
                <c:pt idx="6">
                  <c:v>Product spill</c:v>
                </c:pt>
                <c:pt idx="7">
                  <c:v>Calibration error</c:v>
                </c:pt>
                <c:pt idx="8">
                  <c:v>Labeling error</c:v>
                </c:pt>
                <c:pt idx="9">
                  <c:v>Label switch</c:v>
                </c:pt>
                <c:pt idx="10">
                  <c:v>Conveyor belt jam</c:v>
                </c:pt>
                <c:pt idx="11">
                  <c:v>Emergency stop</c:v>
                </c:pt>
              </c:strCache>
            </c:strRef>
          </c:cat>
          <c:val>
            <c:numRef>
              <c:f>'Downtime factors'!$G$4:$G$15</c:f>
              <c:numCache>
                <c:formatCode>0%</c:formatCode>
                <c:ptCount val="12"/>
                <c:pt idx="0">
                  <c:v>0.23919308357348704</c:v>
                </c:pt>
                <c:pt idx="1">
                  <c:v>0.4221902017291066</c:v>
                </c:pt>
                <c:pt idx="2">
                  <c:v>0.58429394812680113</c:v>
                </c:pt>
                <c:pt idx="3">
                  <c:v>0.69956772334293948</c:v>
                </c:pt>
                <c:pt idx="4">
                  <c:v>0.80403458213256485</c:v>
                </c:pt>
                <c:pt idx="5">
                  <c:v>0.85734870317002887</c:v>
                </c:pt>
                <c:pt idx="6">
                  <c:v>0.89841498559077815</c:v>
                </c:pt>
                <c:pt idx="7">
                  <c:v>0.93371757925072052</c:v>
                </c:pt>
                <c:pt idx="8">
                  <c:v>0.96397694524495681</c:v>
                </c:pt>
                <c:pt idx="9">
                  <c:v>0.98775216138328537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62-4E7F-8427-076119E4BC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7925848"/>
        <c:axId val="647926552"/>
      </c:lineChart>
      <c:catAx>
        <c:axId val="647922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19512"/>
        <c:crosses val="autoZero"/>
        <c:auto val="1"/>
        <c:lblAlgn val="ctr"/>
        <c:lblOffset val="100"/>
        <c:noMultiLvlLbl val="0"/>
      </c:catAx>
      <c:valAx>
        <c:axId val="647919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Downtime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22328"/>
        <c:crosses val="autoZero"/>
        <c:crossBetween val="between"/>
      </c:valAx>
      <c:valAx>
        <c:axId val="647926552"/>
        <c:scaling>
          <c:orientation val="minMax"/>
          <c:max val="1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595959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47925848"/>
        <c:crosses val="max"/>
        <c:crossBetween val="between"/>
      </c:valAx>
      <c:catAx>
        <c:axId val="64792584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4792655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5</xdr:row>
      <xdr:rowOff>25400</xdr:rowOff>
    </xdr:from>
    <xdr:to>
      <xdr:col>5</xdr:col>
      <xdr:colOff>247650</xdr:colOff>
      <xdr:row>19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024B9-783B-4E85-8934-750C43B12D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5</xdr:col>
      <xdr:colOff>552450</xdr:colOff>
      <xdr:row>5</xdr:row>
      <xdr:rowOff>25400</xdr:rowOff>
    </xdr:from>
    <xdr:to>
      <xdr:col>12</xdr:col>
      <xdr:colOff>0</xdr:colOff>
      <xdr:row>19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28B66A-7CAD-4F94-B099-F0DE5458476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2</xdr:row>
      <xdr:rowOff>76200</xdr:rowOff>
    </xdr:from>
    <xdr:to>
      <xdr:col>5</xdr:col>
      <xdr:colOff>247650</xdr:colOff>
      <xdr:row>4</xdr:row>
      <xdr:rowOff>114300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A7EC53F-BC1F-838E-6B81-886432371D4A}"/>
            </a:ext>
          </a:extLst>
        </xdr:cNvPr>
        <xdr:cNvSpPr txBox="1"/>
      </xdr:nvSpPr>
      <xdr:spPr>
        <a:xfrm>
          <a:off x="609600" y="762000"/>
          <a:ext cx="4572000" cy="609600"/>
        </a:xfrm>
        <a:prstGeom prst="rect">
          <a:avLst/>
        </a:prstGeom>
        <a:solidFill>
          <a:srgbClr val="FFFFFF"/>
        </a:solidFill>
        <a:ln w="12700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solidFill>
                <a:schemeClr val="accent1"/>
              </a:solidFill>
            </a:rPr>
            <a:t>Overall line-efficiency sits at</a:t>
          </a:r>
          <a:r>
            <a:rPr lang="en-GB" sz="1600" b="1" baseline="0">
              <a:solidFill>
                <a:schemeClr val="accent1"/>
              </a:solidFill>
            </a:rPr>
            <a:t> 64%</a:t>
          </a:r>
        </a:p>
        <a:p>
          <a:r>
            <a:rPr lang="en-GB" sz="1100" baseline="0"/>
            <a:t>We should place special focus on Mac</a:t>
          </a:r>
          <a:endParaRPr lang="en-GB" sz="1100"/>
        </a:p>
      </xdr:txBody>
    </xdr:sp>
    <xdr:clientData/>
  </xdr:twoCellAnchor>
  <xdr:twoCellAnchor>
    <xdr:from>
      <xdr:col>5</xdr:col>
      <xdr:colOff>552450</xdr:colOff>
      <xdr:row>2</xdr:row>
      <xdr:rowOff>76200</xdr:rowOff>
    </xdr:from>
    <xdr:to>
      <xdr:col>12</xdr:col>
      <xdr:colOff>0</xdr:colOff>
      <xdr:row>4</xdr:row>
      <xdr:rowOff>114300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8AE982A-DA64-401F-9017-DA3F61E9B515}"/>
            </a:ext>
          </a:extLst>
        </xdr:cNvPr>
        <xdr:cNvSpPr txBox="1"/>
      </xdr:nvSpPr>
      <xdr:spPr>
        <a:xfrm>
          <a:off x="5486400" y="762000"/>
          <a:ext cx="4572000" cy="609600"/>
        </a:xfrm>
        <a:prstGeom prst="rect">
          <a:avLst/>
        </a:prstGeom>
        <a:solidFill>
          <a:srgbClr val="FFFFFF"/>
        </a:solidFill>
        <a:ln w="12700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400" b="1">
              <a:solidFill>
                <a:schemeClr val="accent1"/>
              </a:solidFill>
            </a:rPr>
            <a:t>The top 5 factors </a:t>
          </a:r>
          <a:r>
            <a:rPr lang="en-GB" sz="1600" b="1">
              <a:solidFill>
                <a:schemeClr val="accent1"/>
              </a:solidFill>
            </a:rPr>
            <a:t>account</a:t>
          </a:r>
          <a:r>
            <a:rPr lang="en-GB" sz="1400" b="1">
              <a:solidFill>
                <a:schemeClr val="accent1"/>
              </a:solidFill>
            </a:rPr>
            <a:t> for 80% of downtime</a:t>
          </a:r>
        </a:p>
        <a:p>
          <a:r>
            <a:rPr lang="en-GB" sz="1100"/>
            <a:t>We should ignore the</a:t>
          </a:r>
          <a:r>
            <a:rPr lang="en-GB" sz="1100" baseline="0"/>
            <a:t> rest and prioritise these</a:t>
          </a:r>
        </a:p>
      </xdr:txBody>
    </xdr:sp>
    <xdr:clientData/>
  </xdr:twoCellAnchor>
  <xdr:twoCellAnchor>
    <xdr:from>
      <xdr:col>1</xdr:col>
      <xdr:colOff>0</xdr:colOff>
      <xdr:row>20</xdr:row>
      <xdr:rowOff>0</xdr:rowOff>
    </xdr:from>
    <xdr:to>
      <xdr:col>6</xdr:col>
      <xdr:colOff>1149350</xdr:colOff>
      <xdr:row>22</xdr:row>
      <xdr:rowOff>133350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B4C79B8-9EB2-4F33-ADE6-E20F72DC62CE}"/>
            </a:ext>
          </a:extLst>
        </xdr:cNvPr>
        <xdr:cNvSpPr txBox="1"/>
      </xdr:nvSpPr>
      <xdr:spPr>
        <a:xfrm>
          <a:off x="609600" y="4305300"/>
          <a:ext cx="6311900" cy="514350"/>
        </a:xfrm>
        <a:prstGeom prst="rect">
          <a:avLst/>
        </a:prstGeom>
        <a:solidFill>
          <a:srgbClr val="FFFFFF"/>
        </a:solidFill>
        <a:ln w="12700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solidFill>
                <a:schemeClr val="accent1"/>
              </a:solidFill>
            </a:rPr>
            <a:t>3 of the 5 main downtime</a:t>
          </a:r>
          <a:r>
            <a:rPr lang="en-GB" sz="1600" b="1" baseline="0">
              <a:solidFill>
                <a:schemeClr val="accent1"/>
              </a:solidFill>
            </a:rPr>
            <a:t> factors are due to operator error</a:t>
          </a:r>
        </a:p>
        <a:p>
          <a:r>
            <a:rPr lang="en-GB" sz="1100" baseline="0"/>
            <a:t>We should focus on machine adjustment for everyone and batch change for Mac</a:t>
          </a:r>
        </a:p>
      </xdr:txBody>
    </xdr:sp>
    <xdr:clientData/>
  </xdr:twoCellAnchor>
  <xdr:twoCellAnchor>
    <xdr:from>
      <xdr:col>2</xdr:col>
      <xdr:colOff>0</xdr:colOff>
      <xdr:row>25</xdr:row>
      <xdr:rowOff>1</xdr:rowOff>
    </xdr:from>
    <xdr:to>
      <xdr:col>3</xdr:col>
      <xdr:colOff>0</xdr:colOff>
      <xdr:row>28</xdr:row>
      <xdr:rowOff>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6CE5A3B-8168-F60C-3E09-790BE4507E3F}"/>
            </a:ext>
          </a:extLst>
        </xdr:cNvPr>
        <xdr:cNvSpPr/>
      </xdr:nvSpPr>
      <xdr:spPr>
        <a:xfrm>
          <a:off x="1438275" y="5124451"/>
          <a:ext cx="1295400" cy="742950"/>
        </a:xfrm>
        <a:prstGeom prst="rect">
          <a:avLst/>
        </a:prstGeom>
        <a:noFill/>
        <a:ln>
          <a:solidFill>
            <a:sysClr val="windowText" lastClr="00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0</xdr:colOff>
      <xdr:row>28</xdr:row>
      <xdr:rowOff>1</xdr:rowOff>
    </xdr:from>
    <xdr:to>
      <xdr:col>6</xdr:col>
      <xdr:colOff>0</xdr:colOff>
      <xdr:row>29</xdr:row>
      <xdr:rowOff>1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5CE9F19A-8B30-4C9D-B62B-F66DF0FE4643}"/>
            </a:ext>
          </a:extLst>
        </xdr:cNvPr>
        <xdr:cNvSpPr/>
      </xdr:nvSpPr>
      <xdr:spPr>
        <a:xfrm>
          <a:off x="4933950" y="5867401"/>
          <a:ext cx="838200" cy="247650"/>
        </a:xfrm>
        <a:prstGeom prst="rect">
          <a:avLst/>
        </a:prstGeom>
        <a:noFill/>
        <a:ln>
          <a:solidFill>
            <a:sysClr val="windowText" lastClr="000000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288925</xdr:colOff>
      <xdr:row>20</xdr:row>
      <xdr:rowOff>0</xdr:rowOff>
    </xdr:from>
    <xdr:to>
      <xdr:col>12</xdr:col>
      <xdr:colOff>0</xdr:colOff>
      <xdr:row>30</xdr:row>
      <xdr:rowOff>95250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F950E83-9CB7-27AF-DFD1-E8461E5F6C3C}"/>
            </a:ext>
          </a:extLst>
        </xdr:cNvPr>
        <xdr:cNvSpPr txBox="1"/>
      </xdr:nvSpPr>
      <xdr:spPr>
        <a:xfrm>
          <a:off x="7213600" y="4305300"/>
          <a:ext cx="2844800" cy="2095500"/>
        </a:xfrm>
        <a:prstGeom prst="rect">
          <a:avLst/>
        </a:prstGeom>
        <a:solidFill>
          <a:srgbClr val="FFFFFF"/>
        </a:solidFill>
        <a:ln w="12700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600" b="1">
              <a:solidFill>
                <a:schemeClr val="accent1"/>
              </a:solidFill>
            </a:rPr>
            <a:t>Recommendations:</a:t>
          </a:r>
        </a:p>
        <a:p>
          <a:endParaRPr lang="en-GB" sz="1100"/>
        </a:p>
        <a:p>
          <a:r>
            <a:rPr lang="en-GB" sz="1100"/>
            <a:t>1 - Machine</a:t>
          </a:r>
          <a:r>
            <a:rPr lang="en-GB" sz="1100" baseline="0"/>
            <a:t> adjustment training for all operators</a:t>
          </a:r>
        </a:p>
        <a:p>
          <a:endParaRPr lang="en-GB" sz="1100" baseline="0"/>
        </a:p>
        <a:p>
          <a:r>
            <a:rPr lang="en-GB" sz="1100" baseline="0"/>
            <a:t>2- Provide special batch change training for Mac</a:t>
          </a:r>
        </a:p>
        <a:p>
          <a:endParaRPr lang="en-GB" sz="1100" baseline="0"/>
        </a:p>
        <a:p>
          <a:r>
            <a:rPr lang="en-GB" sz="1100" baseline="0"/>
            <a:t>3 - Apply preventative maintenance to machine and double check inventory levels</a:t>
          </a:r>
          <a:endParaRPr lang="en-GB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ry Weller" refreshedDate="46301.628167592593" createdVersion="8" refreshedVersion="8" minRefreshableVersion="3" recordCount="38" xr:uid="{3D94BB58-4694-44CC-8247-FF9F44E381FC}">
  <cacheSource type="worksheet">
    <worksheetSource name="Productivity"/>
  </cacheSource>
  <cacheFields count="10">
    <cacheField name="Date" numFmtId="164">
      <sharedItems containsSemiMixedTypes="0" containsNonDate="0" containsDate="1" containsString="0" minDate="2024-08-29T00:00:00" maxDate="2024-09-04T00:00:00"/>
    </cacheField>
    <cacheField name="Product" numFmtId="0">
      <sharedItems/>
    </cacheField>
    <cacheField name="Batch" numFmtId="0">
      <sharedItems containsSemiMixedTypes="0" containsString="0" containsNumber="1" containsInteger="1" minValue="422111" maxValue="422148"/>
    </cacheField>
    <cacheField name="Operator" numFmtId="0">
      <sharedItems count="4">
        <s v="Mac"/>
        <s v="Charlie"/>
        <s v="Dee"/>
        <s v="Dennis"/>
      </sharedItems>
    </cacheField>
    <cacheField name="Start Time" numFmtId="21">
      <sharedItems containsSemiMixedTypes="0" containsNonDate="0" containsDate="1" containsString="0" minDate="1899-12-30T01:00:00" maxDate="1899-12-30T22:55:00"/>
    </cacheField>
    <cacheField name="End Time" numFmtId="21">
      <sharedItems containsSemiMixedTypes="0" containsNonDate="0" containsDate="1" containsString="0" minDate="1899-12-30T02:45:00" maxDate="1899-12-31T01:05:00"/>
    </cacheField>
    <cacheField name="Batch Time(Mins)" numFmtId="0">
      <sharedItems containsSemiMixedTypes="0" containsString="0" containsNumber="1" minValue="59.999999999999943" maxValue="205.00000000000006"/>
    </cacheField>
    <cacheField name="Min Batch Time" numFmtId="0">
      <sharedItems containsSemiMixedTypes="0" containsString="0" containsNumber="1" containsInteger="1" minValue="60" maxValue="98"/>
    </cacheField>
    <cacheField name="Efficiency" numFmtId="0">
      <sharedItems containsNonDate="0" containsString="0" containsBlank="1"/>
    </cacheField>
    <cacheField name="Efficiency Check" numFmtId="0" formula="'Min Batch Time' /'Batch Time(Mins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d v="2024-08-29T00:00:00"/>
    <s v="OR-600"/>
    <n v="422111"/>
    <x v="0"/>
    <d v="1899-12-30T11:50:00"/>
    <d v="1899-12-30T14:05:00"/>
    <n v="135"/>
    <n v="60"/>
    <m/>
  </r>
  <r>
    <d v="2024-08-29T00:00:00"/>
    <s v="LE-600"/>
    <n v="422112"/>
    <x v="0"/>
    <d v="1899-12-30T14:05:00"/>
    <d v="1899-12-30T15:45:00"/>
    <n v="99.999999999999972"/>
    <n v="60"/>
    <m/>
  </r>
  <r>
    <d v="2024-08-29T00:00:00"/>
    <s v="LE-600"/>
    <n v="422113"/>
    <x v="0"/>
    <d v="1899-12-30T15:45:00"/>
    <d v="1899-12-30T17:35:00"/>
    <n v="109.99999999999993"/>
    <n v="60"/>
    <m/>
  </r>
  <r>
    <d v="2024-08-29T00:00:00"/>
    <s v="LE-600"/>
    <n v="422114"/>
    <x v="0"/>
    <d v="1899-12-30T17:35:00"/>
    <d v="1899-12-30T19:15:00"/>
    <n v="99.999999999999972"/>
    <n v="60"/>
    <m/>
  </r>
  <r>
    <d v="2024-08-29T00:00:00"/>
    <s v="LE-600"/>
    <n v="422115"/>
    <x v="1"/>
    <d v="1899-12-30T19:15:00"/>
    <d v="1899-12-30T20:39:00"/>
    <n v="84.000000000000028"/>
    <n v="60"/>
    <m/>
  </r>
  <r>
    <d v="2024-08-29T00:00:00"/>
    <s v="LE-600"/>
    <n v="422116"/>
    <x v="1"/>
    <d v="1899-12-30T20:39:00"/>
    <d v="1899-12-30T21:39:00"/>
    <n v="59.999999999999943"/>
    <n v="60"/>
    <m/>
  </r>
  <r>
    <d v="2024-08-29T00:00:00"/>
    <s v="LE-600"/>
    <n v="422117"/>
    <x v="1"/>
    <d v="1899-12-30T21:39:00"/>
    <d v="1899-12-30T22:54:00"/>
    <n v="75.000000000000057"/>
    <n v="60"/>
    <m/>
  </r>
  <r>
    <d v="2024-08-30T00:00:00"/>
    <s v="CO-600"/>
    <n v="422118"/>
    <x v="2"/>
    <d v="1899-12-30T04:05:00"/>
    <d v="1899-12-30T06:05:00"/>
    <n v="119.99999999999997"/>
    <n v="60"/>
    <m/>
  </r>
  <r>
    <d v="2024-08-30T00:00:00"/>
    <s v="CO-600"/>
    <n v="422119"/>
    <x v="2"/>
    <d v="1899-12-30T06:05:00"/>
    <d v="1899-12-30T07:30:00"/>
    <n v="85.000000000000014"/>
    <n v="60"/>
    <m/>
  </r>
  <r>
    <d v="2024-08-30T00:00:00"/>
    <s v="CO-600"/>
    <n v="422120"/>
    <x v="2"/>
    <d v="1899-12-30T07:30:00"/>
    <d v="1899-12-30T09:22:00"/>
    <n v="112"/>
    <n v="60"/>
    <m/>
  </r>
  <r>
    <d v="2024-08-30T00:00:00"/>
    <s v="CO-600"/>
    <n v="422121"/>
    <x v="3"/>
    <d v="1899-12-30T09:22:00"/>
    <d v="1899-12-30T10:37:00"/>
    <n v="74.999999999999972"/>
    <n v="60"/>
    <m/>
  </r>
  <r>
    <d v="2024-08-30T00:00:00"/>
    <s v="CO-600"/>
    <n v="422122"/>
    <x v="3"/>
    <d v="1899-12-30T10:37:00"/>
    <d v="1899-12-30T12:02:00"/>
    <n v="85.000000000000014"/>
    <n v="60"/>
    <m/>
  </r>
  <r>
    <d v="2024-08-30T00:00:00"/>
    <s v="CO-600"/>
    <n v="422123"/>
    <x v="3"/>
    <d v="1899-12-30T12:02:00"/>
    <d v="1899-12-30T14:15:00"/>
    <n v="133"/>
    <n v="60"/>
    <m/>
  </r>
  <r>
    <d v="2024-08-30T00:00:00"/>
    <s v="CO-600"/>
    <n v="422124"/>
    <x v="3"/>
    <d v="1899-12-30T14:15:00"/>
    <d v="1899-12-30T15:55:00"/>
    <n v="99.999999999999972"/>
    <n v="60"/>
    <m/>
  </r>
  <r>
    <d v="2024-08-30T00:00:00"/>
    <s v="CO-600"/>
    <n v="422125"/>
    <x v="1"/>
    <d v="1899-12-30T15:55:00"/>
    <d v="1899-12-30T17:15:00"/>
    <n v="80.000000000000028"/>
    <n v="60"/>
    <m/>
  </r>
  <r>
    <d v="2024-08-30T00:00:00"/>
    <s v="CO-600"/>
    <n v="422126"/>
    <x v="1"/>
    <d v="1899-12-30T17:15:00"/>
    <d v="1899-12-30T18:59:00"/>
    <n v="103.99999999999994"/>
    <n v="60"/>
    <m/>
  </r>
  <r>
    <d v="2024-08-30T00:00:00"/>
    <s v="CO-600"/>
    <n v="422127"/>
    <x v="1"/>
    <d v="1899-12-30T18:59:00"/>
    <d v="1899-12-30T20:22:00"/>
    <n v="83.000000000000028"/>
    <n v="60"/>
    <m/>
  </r>
  <r>
    <d v="2024-08-30T00:00:00"/>
    <s v="CO-600"/>
    <n v="422128"/>
    <x v="1"/>
    <d v="1899-12-30T20:22:00"/>
    <d v="1899-12-30T22:14:00"/>
    <n v="112.00000000000009"/>
    <n v="60"/>
    <m/>
  </r>
  <r>
    <d v="2024-08-30T00:00:00"/>
    <s v="CO-600"/>
    <n v="422129"/>
    <x v="1"/>
    <d v="1899-12-30T22:14:00"/>
    <d v="1899-12-30T23:29:00"/>
    <n v="74.999999999999886"/>
    <n v="60"/>
    <m/>
  </r>
  <r>
    <d v="2024-08-31T00:00:00"/>
    <s v="CO-600"/>
    <n v="422130"/>
    <x v="2"/>
    <d v="1899-12-30T07:45:00"/>
    <d v="1899-12-30T09:05:00"/>
    <n v="79.999999999999957"/>
    <n v="60"/>
    <m/>
  </r>
  <r>
    <d v="2024-08-31T00:00:00"/>
    <s v="CO-600"/>
    <n v="422131"/>
    <x v="2"/>
    <d v="1899-12-30T09:05:00"/>
    <d v="1899-12-30T10:35:00"/>
    <n v="90"/>
    <n v="60"/>
    <m/>
  </r>
  <r>
    <d v="2024-08-31T00:00:00"/>
    <s v="CO-600"/>
    <n v="422132"/>
    <x v="2"/>
    <d v="1899-12-30T10:35:00"/>
    <d v="1899-12-30T11:35:00"/>
    <n v="60.000000000000028"/>
    <n v="60"/>
    <m/>
  </r>
  <r>
    <d v="2024-08-31T00:00:00"/>
    <s v="DC-600"/>
    <n v="422133"/>
    <x v="2"/>
    <d v="1899-12-30T11:35:00"/>
    <d v="1899-12-30T12:55:00"/>
    <n v="79.999999999999957"/>
    <n v="60"/>
    <m/>
  </r>
  <r>
    <d v="2024-08-31T00:00:00"/>
    <s v="DC-600"/>
    <n v="422134"/>
    <x v="0"/>
    <d v="1899-12-30T12:55:00"/>
    <d v="1899-12-30T14:45:00"/>
    <n v="110.00000000000009"/>
    <n v="60"/>
    <m/>
  </r>
  <r>
    <d v="2024-08-31T00:00:00"/>
    <s v="DC-600"/>
    <n v="422135"/>
    <x v="0"/>
    <d v="1899-12-30T14:45:00"/>
    <d v="1899-12-30T16:30:00"/>
    <n v="104.99999999999994"/>
    <n v="60"/>
    <m/>
  </r>
  <r>
    <d v="2024-08-31T00:00:00"/>
    <s v="DC-600"/>
    <n v="422136"/>
    <x v="0"/>
    <d v="1899-12-30T16:30:00"/>
    <d v="1899-12-30T17:30:00"/>
    <n v="59.999999999999943"/>
    <n v="60"/>
    <m/>
  </r>
  <r>
    <d v="2024-09-02T00:00:00"/>
    <s v="RB-600"/>
    <n v="422137"/>
    <x v="2"/>
    <d v="1899-12-30T01:00:00"/>
    <d v="1899-12-30T02:45:00"/>
    <n v="104.99999999999999"/>
    <n v="60"/>
    <m/>
  </r>
  <r>
    <d v="2024-09-02T00:00:00"/>
    <s v="RB-600"/>
    <n v="422138"/>
    <x v="2"/>
    <d v="1899-12-30T02:45:00"/>
    <d v="1899-12-30T04:05:00"/>
    <n v="80.000000000000014"/>
    <n v="60"/>
    <m/>
  </r>
  <r>
    <d v="2024-09-02T00:00:00"/>
    <s v="RB-600"/>
    <n v="422139"/>
    <x v="2"/>
    <d v="1899-12-30T04:05:00"/>
    <d v="1899-12-30T05:40:00"/>
    <n v="94.999999999999986"/>
    <n v="60"/>
    <m/>
  </r>
  <r>
    <d v="2024-09-02T00:00:00"/>
    <s v="RB-600"/>
    <n v="422140"/>
    <x v="2"/>
    <d v="1899-12-30T05:40:00"/>
    <d v="1899-12-30T07:43:00"/>
    <n v="123.00000000000004"/>
    <n v="60"/>
    <m/>
  </r>
  <r>
    <d v="2024-09-02T00:00:00"/>
    <s v="RB-600"/>
    <n v="422141"/>
    <x v="3"/>
    <d v="1899-12-30T07:43:00"/>
    <d v="1899-12-30T08:50:00"/>
    <n v="67"/>
    <n v="60"/>
    <m/>
  </r>
  <r>
    <d v="2024-09-02T00:00:00"/>
    <s v="RB-600"/>
    <n v="422142"/>
    <x v="3"/>
    <d v="1899-12-30T08:50:00"/>
    <d v="1899-12-30T10:20:00"/>
    <n v="90"/>
    <n v="60"/>
    <m/>
  </r>
  <r>
    <d v="2024-09-02T00:00:00"/>
    <s v="RB-600"/>
    <n v="422143"/>
    <x v="3"/>
    <d v="1899-12-30T10:20:00"/>
    <d v="1899-12-30T12:18:00"/>
    <n v="117.9999999999999"/>
    <n v="60"/>
    <m/>
  </r>
  <r>
    <d v="2024-09-02T00:00:00"/>
    <s v="CO-2L"/>
    <n v="422144"/>
    <x v="3"/>
    <d v="1899-12-30T12:18:00"/>
    <d v="1899-12-30T14:50:00"/>
    <n v="152.00000000000011"/>
    <n v="98"/>
    <m/>
  </r>
  <r>
    <d v="2024-09-02T00:00:00"/>
    <s v="CO-2L"/>
    <n v="422145"/>
    <x v="1"/>
    <d v="1899-12-30T14:50:00"/>
    <d v="1899-12-30T16:50:00"/>
    <n v="120.00000000000006"/>
    <n v="98"/>
    <m/>
  </r>
  <r>
    <d v="2024-09-02T00:00:00"/>
    <s v="CO-2L"/>
    <n v="422146"/>
    <x v="1"/>
    <d v="1899-12-30T16:50:00"/>
    <d v="1899-12-30T19:30:00"/>
    <n v="159.99999999999991"/>
    <n v="98"/>
    <m/>
  </r>
  <r>
    <d v="2024-09-02T00:00:00"/>
    <s v="CO-2L"/>
    <n v="422147"/>
    <x v="1"/>
    <d v="1899-12-30T19:30:00"/>
    <d v="1899-12-30T22:55:00"/>
    <n v="205.00000000000006"/>
    <n v="98"/>
    <m/>
  </r>
  <r>
    <d v="2024-09-03T00:00:00"/>
    <s v="CO-2L"/>
    <n v="422148"/>
    <x v="0"/>
    <d v="1899-12-30T22:55:00"/>
    <d v="1899-12-31T01:05:00"/>
    <n v="129.99999999999986"/>
    <n v="98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1D65EDD-9898-4249-AE4B-EB5652ADBCE6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K3:L8" firstHeaderRow="1" firstDataRow="1" firstDataCol="1"/>
  <pivotFields count="10">
    <pivotField compact="0" numFmtId="164" outline="0" subtotalTop="0" showAll="0"/>
    <pivotField compact="0" outline="0" subtotalTop="0" showAll="0"/>
    <pivotField compact="0" outline="0" subtotalTop="0" showAll="0"/>
    <pivotField axis="axisRow" compact="0" outline="0" subtotalTop="0" showAll="0">
      <items count="5">
        <item x="1"/>
        <item x="2"/>
        <item x="3"/>
        <item x="0"/>
        <item t="default"/>
      </items>
    </pivotField>
    <pivotField compact="0" numFmtId="21" outline="0" subtotalTop="0" showAll="0"/>
    <pivotField compact="0" numFmtId="21" outline="0" subtotalTop="0" showAll="0"/>
    <pivotField compact="0" outline="0" subtotalTop="0" showAll="0"/>
    <pivotField compact="0" outline="0" subtotalTop="0" showAll="0"/>
    <pivotField compact="0" outline="0" subtotalTop="0" showAll="0"/>
    <pivotField dataField="1" compact="0" outline="0" subtotalTop="0" dragToRow="0" dragToCol="0" dragToPage="0" showAll="0" defaultSubtota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Efficiency " fld="9" baseField="0" baseItem="0" numFmtId="9"/>
  </dataFields>
  <formats count="2">
    <format dxfId="5">
      <pivotArea dataOnly="0" outline="0" axis="axisValues" fieldPosition="0"/>
    </format>
    <format dxfId="4">
      <pivotArea outline="0" collapsedLevelsAreSubtotals="1" fieldPosition="0"/>
    </format>
  </formats>
  <chartFormats count="2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D4C3D1-BEE2-444C-84E2-3E44C68B7C4F}" name="Productivity" displayName="Productivity" ref="B3:I41" totalsRowShown="0" headerRowDxfId="12">
  <autoFilter ref="B3:I41" xr:uid="{CAD4C3D1-BEE2-444C-84E2-3E44C68B7C4F}"/>
  <tableColumns count="8">
    <tableColumn id="1" xr3:uid="{D27B5A6E-CE64-4C7D-AF23-28400D671DDF}" name="Date" dataDxfId="14"/>
    <tableColumn id="2" xr3:uid="{3C14C095-1AFD-4F06-958A-F19D101ECE4D}" name="Product"/>
    <tableColumn id="3" xr3:uid="{AB0CC073-3E0C-4C6B-8667-A61C2F885AEC}" name="Batch"/>
    <tableColumn id="4" xr3:uid="{204C64E0-7A97-49AC-B5F6-26806CC8FC57}" name="Operator"/>
    <tableColumn id="5" xr3:uid="{5FE01967-1648-4F86-8232-BC6330F0B183}" name="Start Time" dataDxfId="13"/>
    <tableColumn id="6" xr3:uid="{680017EE-D80E-46E8-BB83-14E376678D38}" name="End Time" dataDxfId="11"/>
    <tableColumn id="7" xr3:uid="{666BD843-0D2E-4685-A4F4-B248B338315E}" name="Batch Time(Mins)" dataDxfId="10">
      <calculatedColumnFormula>(Productivity[[#This Row],[End Time]]-Productivity[[#This Row],[Start Time]])*24*60</calculatedColumnFormula>
    </tableColumn>
    <tableColumn id="8" xr3:uid="{21C438A9-0785-48C7-BFB8-8CFB4DEC9184}" name="Min Batch Time" dataDxfId="6">
      <calculatedColumnFormula>VLOOKUP(Productivity[[#This Row],[Product]],Products[],4,FALSE)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284AD81-A6BA-4AC1-93DC-02C67B64FAC1}" name="Products" displayName="Products" ref="B3:E9" totalsRowShown="0" headerRowDxfId="9">
  <autoFilter ref="B3:E9" xr:uid="{0284AD81-A6BA-4AC1-93DC-02C67B64FAC1}"/>
  <tableColumns count="4">
    <tableColumn id="1" xr3:uid="{18C0B040-879F-4282-B350-52EF7DA49F54}" name="Product"/>
    <tableColumn id="2" xr3:uid="{C5D8719E-17E2-40C1-AF8D-8F6E5D042CC9}" name="Flavor"/>
    <tableColumn id="3" xr3:uid="{7ECF3CDF-C48C-4C21-8241-4A84264B83F9}" name="Size"/>
    <tableColumn id="4" xr3:uid="{35B31941-36AB-48C6-969A-FD437F216049}" name="Min batch 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482F4B-E4E8-4990-82A2-0543DD72AB7D}" name="DTFactor" displayName="DTFactor" ref="B3:G15" totalsRowShown="0" headerRowDxfId="8">
  <autoFilter ref="B3:G15" xr:uid="{DF482F4B-E4E8-4990-82A2-0543DD72AB7D}"/>
  <sortState xmlns:xlrd2="http://schemas.microsoft.com/office/spreadsheetml/2017/richdata2" ref="B4:E15">
    <sortCondition descending="1" ref="E3:E15"/>
  </sortState>
  <tableColumns count="6">
    <tableColumn id="1" xr3:uid="{B66AB340-303A-4072-9938-2CCFCB4DCF77}" name="Factor"/>
    <tableColumn id="2" xr3:uid="{EABCF648-433E-4B3E-A0DD-A928D64EACD3}" name="Description"/>
    <tableColumn id="3" xr3:uid="{65A41F7B-187F-4C02-94EF-9233422DA3A3}" name="Operator Error"/>
    <tableColumn id="4" xr3:uid="{33EA7EC7-81FD-496D-984E-73310360F544}" name="Downtime" dataDxfId="3">
      <calculatedColumnFormula>SUM(INDEX(Table4[[1]:[12]],0,MATCH(TEXT(DTFactor[[#This Row],[Factor]],"0"),Table4[[#Headers],[1]:[12]],0)))</calculatedColumnFormula>
    </tableColumn>
    <tableColumn id="5" xr3:uid="{3A3C63CA-3E24-4B43-B806-1144AFBF821C}" name="Downtime %" dataDxfId="2" dataCellStyle="Percent">
      <calculatedColumnFormula>SUM(DTFactor[[#This Row],[Downtime]]:DTFactor[[#This Row],[Downtime]])/SUM(DTFactor[Downtime])</calculatedColumnFormula>
    </tableColumn>
    <tableColumn id="6" xr3:uid="{983B6D9F-8D05-47C6-AF17-BFCA5C5F0D34}" name="Pareto" dataDxfId="1">
      <calculatedColumnFormula>SUMIFS(DTFactor[Downtime %],DTFactor[Downtime],"&gt;="&amp;DTFactor[[#This Row],[Downtime]])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471A2F-9179-4EBD-8B2E-AE532EFACD75}" name="Table4" displayName="Table4" ref="B4:O42" totalsRowShown="0" headerRowDxfId="7">
  <autoFilter ref="B4:O42" xr:uid="{25471A2F-9179-4EBD-8B2E-AE532EFACD75}"/>
  <tableColumns count="14">
    <tableColumn id="1" xr3:uid="{69516BF5-0B48-4155-A3D8-99F76E959EC8}" name="Batch"/>
    <tableColumn id="14" xr3:uid="{CC87DB0C-4D21-490A-B38E-CDC32331BB3A}" name="Operator" dataDxfId="0">
      <calculatedColumnFormula>INDEX(Productivity[Operator],MATCH(Table4[[#This Row],[Batch]],Productivity[Batch],0))</calculatedColumnFormula>
    </tableColumn>
    <tableColumn id="2" xr3:uid="{EA6B29C0-FD2E-4E98-B79C-D363443BD8B1}" name="1"/>
    <tableColumn id="3" xr3:uid="{1FCF33E1-E103-4178-9151-1F71BCF5D8C8}" name="2"/>
    <tableColumn id="4" xr3:uid="{DD87E5F8-E44F-4E34-A9F5-6477E36D64E2}" name="3"/>
    <tableColumn id="5" xr3:uid="{AC7B2B61-A1EC-45C5-A567-236EEF7D8EF2}" name="4"/>
    <tableColumn id="6" xr3:uid="{6F6B231F-7F8C-4B77-A049-CFC78F1B6155}" name="5"/>
    <tableColumn id="7" xr3:uid="{5F5018BE-E8F3-472E-9D13-E91E9D9206D2}" name="6"/>
    <tableColumn id="8" xr3:uid="{20FA0627-36BD-44E6-9159-3618C70BC270}" name="7"/>
    <tableColumn id="9" xr3:uid="{A9323BE5-49C9-499E-8DD0-93F7C546AAE3}" name="8"/>
    <tableColumn id="10" xr3:uid="{2AF4C16B-E8E8-4FA9-877F-7B65F8101B46}" name="9"/>
    <tableColumn id="11" xr3:uid="{5DA5CB57-FB9E-4A1A-9313-63C814E2877F}" name="10"/>
    <tableColumn id="12" xr3:uid="{DF6AF46E-407C-49BD-BD3C-8A357BA7E5E4}" name="11"/>
    <tableColumn id="13" xr3:uid="{02948899-0082-4EB5-BB12-36146E426293}" name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C9DDF9A-E5A6-4D75-98A6-CBC8B3CFF193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0ef5aa31-0e14-4347-b6b9-ac59fcca6d41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C9F-D8C9-46A2-AC30-53E51A8635F3}">
  <dimension ref="A1:M29"/>
  <sheetViews>
    <sheetView showGridLines="0" tabSelected="1" workbookViewId="0">
      <selection activeCell="N6" sqref="N6"/>
    </sheetView>
  </sheetViews>
  <sheetFormatPr defaultRowHeight="15" x14ac:dyDescent="0.25"/>
  <cols>
    <col min="2" max="2" width="12.42578125" customWidth="1"/>
    <col min="3" max="3" width="19.42578125" bestFit="1" customWidth="1"/>
    <col min="4" max="4" width="15" bestFit="1" customWidth="1"/>
    <col min="5" max="5" width="18" bestFit="1" customWidth="1"/>
    <col min="6" max="6" width="12.5703125" bestFit="1" customWidth="1"/>
    <col min="7" max="7" width="17.28515625" bestFit="1" customWidth="1"/>
    <col min="12" max="12" width="10.42578125" customWidth="1"/>
  </cols>
  <sheetData>
    <row r="1" spans="1:13" ht="36" customHeight="1" x14ac:dyDescent="0.25">
      <c r="A1" s="12"/>
      <c r="B1" s="13" t="s">
        <v>63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ht="18" customHeight="1" x14ac:dyDescent="0.25">
      <c r="B2" s="14" t="s">
        <v>64</v>
      </c>
    </row>
    <row r="3" spans="1:13" ht="30" customHeight="1" x14ac:dyDescent="0.25"/>
    <row r="24" spans="2:7" hidden="1" x14ac:dyDescent="0.25">
      <c r="B24" s="10" t="s">
        <v>26</v>
      </c>
      <c r="C24" s="11">
        <v>6</v>
      </c>
      <c r="D24" s="11">
        <v>7</v>
      </c>
      <c r="E24" s="11">
        <v>4</v>
      </c>
      <c r="F24" s="11">
        <v>2</v>
      </c>
      <c r="G24" s="11">
        <v>8</v>
      </c>
    </row>
    <row r="25" spans="2:7" ht="20.100000000000001" customHeight="1" x14ac:dyDescent="0.25">
      <c r="B25" s="21" t="s">
        <v>27</v>
      </c>
      <c r="C25" s="22" t="s">
        <v>36</v>
      </c>
      <c r="D25" s="22" t="s">
        <v>37</v>
      </c>
      <c r="E25" s="22" t="s">
        <v>34</v>
      </c>
      <c r="F25" s="22" t="s">
        <v>31</v>
      </c>
      <c r="G25" s="23" t="s">
        <v>38</v>
      </c>
    </row>
    <row r="26" spans="2:7" ht="20.100000000000001" customHeight="1" x14ac:dyDescent="0.25">
      <c r="B26" s="16" t="s">
        <v>9</v>
      </c>
      <c r="C26" s="15">
        <f>SUMIFS(INDEX(Table4[[1]:[12]],0,MATCH(TEXT(C$24,"0"),Table4[[#Headers],[1]:[12]],0)),Table4[Operator],$B26)</f>
        <v>118</v>
      </c>
      <c r="D26" s="15">
        <f>SUMIFS(INDEX(Table4[[1]:[12]],0,MATCH(TEXT(D$24,"0"),Table4[[#Headers],[1]:[12]],0)),Table4[Operator],$B26)</f>
        <v>85</v>
      </c>
      <c r="E26" s="15">
        <f>SUMIFS(INDEX(Table4[[1]:[12]],0,MATCH(TEXT(E$24,"0"),Table4[[#Headers],[1]:[12]],0)),Table4[Operator],$B26)</f>
        <v>17</v>
      </c>
      <c r="F26" s="15">
        <f>SUMIFS(INDEX(Table4[[1]:[12]],0,MATCH(TEXT(F$24,"0"),Table4[[#Headers],[1]:[12]],0)),Table4[Operator],$B26)</f>
        <v>10</v>
      </c>
      <c r="G26" s="17">
        <f>SUMIFS(INDEX(Table4[[1]:[12]],0,MATCH(TEXT(G$24,"0"),Table4[[#Headers],[1]:[12]],0)),Table4[Operator],$B26)</f>
        <v>44</v>
      </c>
    </row>
    <row r="27" spans="2:7" ht="20.100000000000001" customHeight="1" x14ac:dyDescent="0.25">
      <c r="B27" s="18" t="s">
        <v>11</v>
      </c>
      <c r="C27" s="19">
        <f>SUMIFS(INDEX(Table4[[1]:[12]],0,MATCH(TEXT(C$24,"0"),Table4[[#Headers],[1]:[12]],0)),Table4[Operator],$B27)</f>
        <v>79</v>
      </c>
      <c r="D27" s="19">
        <f>SUMIFS(INDEX(Table4[[1]:[12]],0,MATCH(TEXT(D$24,"0"),Table4[[#Headers],[1]:[12]],0)),Table4[Operator],$B27)</f>
        <v>36</v>
      </c>
      <c r="E27" s="19">
        <f>SUMIFS(INDEX(Table4[[1]:[12]],0,MATCH(TEXT(E$24,"0"),Table4[[#Headers],[1]:[12]],0)),Table4[Operator],$B27)</f>
        <v>85</v>
      </c>
      <c r="F27" s="19">
        <f>SUMIFS(INDEX(Table4[[1]:[12]],0,MATCH(TEXT(F$24,"0"),Table4[[#Headers],[1]:[12]],0)),Table4[Operator],$B27)</f>
        <v>20</v>
      </c>
      <c r="G27" s="20">
        <f>SUMIFS(INDEX(Table4[[1]:[12]],0,MATCH(TEXT(G$24,"0"),Table4[[#Headers],[1]:[12]],0)),Table4[Operator],$B27)</f>
        <v>30</v>
      </c>
    </row>
    <row r="28" spans="2:7" ht="20.100000000000001" customHeight="1" x14ac:dyDescent="0.25">
      <c r="B28" s="18" t="s">
        <v>12</v>
      </c>
      <c r="C28" s="19">
        <f>SUMIFS(INDEX(Table4[[1]:[12]],0,MATCH(TEXT(C$24,"0"),Table4[[#Headers],[1]:[12]],0)),Table4[Operator],$B28)</f>
        <v>120</v>
      </c>
      <c r="D28" s="19">
        <f>SUMIFS(INDEX(Table4[[1]:[12]],0,MATCH(TEXT(D$24,"0"),Table4[[#Headers],[1]:[12]],0)),Table4[Operator],$B28)</f>
        <v>88</v>
      </c>
      <c r="E28" s="19">
        <f>SUMIFS(INDEX(Table4[[1]:[12]],0,MATCH(TEXT(E$24,"0"),Table4[[#Headers],[1]:[12]],0)),Table4[Operator],$B28)</f>
        <v>43</v>
      </c>
      <c r="F28" s="19">
        <f>SUMIFS(INDEX(Table4[[1]:[12]],0,MATCH(TEXT(F$24,"0"),Table4[[#Headers],[1]:[12]],0)),Table4[Operator],$B28)</f>
        <v>0</v>
      </c>
      <c r="G28" s="20">
        <f>SUMIFS(INDEX(Table4[[1]:[12]],0,MATCH(TEXT(G$24,"0"),Table4[[#Headers],[1]:[12]],0)),Table4[Operator],$B28)</f>
        <v>24</v>
      </c>
    </row>
    <row r="29" spans="2:7" ht="20.100000000000001" customHeight="1" x14ac:dyDescent="0.25">
      <c r="B29" s="18" t="s">
        <v>7</v>
      </c>
      <c r="C29" s="19">
        <f>SUMIFS(INDEX(Table4[[1]:[12]],0,MATCH(TEXT(C$24,"0"),Table4[[#Headers],[1]:[12]],0)),Table4[Operator],$B29)</f>
        <v>15</v>
      </c>
      <c r="D29" s="19">
        <f>SUMIFS(INDEX(Table4[[1]:[12]],0,MATCH(TEXT(D$24,"0"),Table4[[#Headers],[1]:[12]],0)),Table4[Operator],$B29)</f>
        <v>45</v>
      </c>
      <c r="E29" s="19">
        <f>SUMIFS(INDEX(Table4[[1]:[12]],0,MATCH(TEXT(E$24,"0"),Table4[[#Headers],[1]:[12]],0)),Table4[Operator],$B29)</f>
        <v>80</v>
      </c>
      <c r="F29" s="19">
        <f>SUMIFS(INDEX(Table4[[1]:[12]],0,MATCH(TEXT(F$24,"0"),Table4[[#Headers],[1]:[12]],0)),Table4[Operator],$B29)</f>
        <v>130</v>
      </c>
      <c r="G29" s="20">
        <f>SUMIFS(INDEX(Table4[[1]:[12]],0,MATCH(TEXT(G$24,"0"),Table4[[#Headers],[1]:[12]],0)),Table4[Operator],$B29)</f>
        <v>47</v>
      </c>
    </row>
  </sheetData>
  <conditionalFormatting sqref="C26:G29">
    <cfRule type="colorScale" priority="1">
      <colorScale>
        <cfvo type="min"/>
        <cfvo type="percentile" val="50"/>
        <cfvo type="max"/>
        <color rgb="FFFCFCFF"/>
        <color theme="0"/>
        <color rgb="FFF8696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4D1B3-5E04-42CB-9E92-557E3A88B457}">
  <dimension ref="B3:L41"/>
  <sheetViews>
    <sheetView workbookViewId="0">
      <selection activeCell="I7" sqref="I7"/>
    </sheetView>
  </sheetViews>
  <sheetFormatPr defaultRowHeight="15" x14ac:dyDescent="0.25"/>
  <cols>
    <col min="1" max="1" width="5" customWidth="1"/>
    <col min="2" max="2" width="12.42578125" customWidth="1"/>
    <col min="3" max="3" width="10.28515625" customWidth="1"/>
    <col min="5" max="5" width="11.140625" customWidth="1"/>
    <col min="6" max="6" width="12.140625" customWidth="1"/>
    <col min="7" max="7" width="11.28515625" customWidth="1"/>
    <col min="8" max="8" width="19" bestFit="1" customWidth="1"/>
    <col min="9" max="9" width="17.140625" bestFit="1" customWidth="1"/>
    <col min="11" max="11" width="12.85546875" customWidth="1"/>
    <col min="12" max="12" width="11.5703125" customWidth="1"/>
  </cols>
  <sheetData>
    <row r="3" spans="2:12" x14ac:dyDescent="0.25">
      <c r="B3" s="4" t="s">
        <v>0</v>
      </c>
      <c r="C3" s="4" t="s">
        <v>1</v>
      </c>
      <c r="D3" s="4" t="s">
        <v>2</v>
      </c>
      <c r="E3" s="4" t="s">
        <v>3</v>
      </c>
      <c r="F3" s="4" t="s">
        <v>4</v>
      </c>
      <c r="G3" s="4" t="s">
        <v>5</v>
      </c>
      <c r="H3" s="4" t="s">
        <v>44</v>
      </c>
      <c r="I3" s="4" t="s">
        <v>45</v>
      </c>
      <c r="K3" s="6" t="s">
        <v>3</v>
      </c>
      <c r="L3" s="7" t="s">
        <v>59</v>
      </c>
    </row>
    <row r="4" spans="2:12" x14ac:dyDescent="0.25">
      <c r="B4" s="1">
        <v>45533</v>
      </c>
      <c r="C4" t="s">
        <v>6</v>
      </c>
      <c r="D4">
        <v>422111</v>
      </c>
      <c r="E4" t="s">
        <v>7</v>
      </c>
      <c r="F4" s="2">
        <v>0.49305555555555558</v>
      </c>
      <c r="G4" s="2">
        <v>0.58680555555555558</v>
      </c>
      <c r="H4" s="5">
        <f>(Productivity[[#This Row],[End Time]]-Productivity[[#This Row],[Start Time]])*24*60</f>
        <v>135</v>
      </c>
      <c r="I4">
        <f>VLOOKUP(Productivity[[#This Row],[Product]],Products[],4,FALSE)</f>
        <v>60</v>
      </c>
      <c r="K4" t="s">
        <v>9</v>
      </c>
      <c r="L4" s="7">
        <v>0.66839378238341973</v>
      </c>
    </row>
    <row r="5" spans="2:12" x14ac:dyDescent="0.25">
      <c r="B5" s="1">
        <v>45533</v>
      </c>
      <c r="C5" t="s">
        <v>8</v>
      </c>
      <c r="D5">
        <v>422112</v>
      </c>
      <c r="E5" t="s">
        <v>7</v>
      </c>
      <c r="F5" s="2">
        <v>0.58680555555555558</v>
      </c>
      <c r="G5" s="2">
        <v>0.65625</v>
      </c>
      <c r="H5" s="5">
        <f>(Productivity[[#This Row],[End Time]]-Productivity[[#This Row],[Start Time]])*24*60</f>
        <v>99.999999999999972</v>
      </c>
      <c r="I5">
        <f>VLOOKUP(Productivity[[#This Row],[Product]],Products[],4,FALSE)</f>
        <v>60</v>
      </c>
      <c r="K5" t="s">
        <v>11</v>
      </c>
      <c r="L5" s="7">
        <v>0.64077669902912626</v>
      </c>
    </row>
    <row r="6" spans="2:12" x14ac:dyDescent="0.25">
      <c r="B6" s="1">
        <v>45533</v>
      </c>
      <c r="C6" t="s">
        <v>8</v>
      </c>
      <c r="D6">
        <v>422113</v>
      </c>
      <c r="E6" t="s">
        <v>7</v>
      </c>
      <c r="F6" s="2">
        <v>0.65625</v>
      </c>
      <c r="G6" s="2">
        <v>0.73263888888888884</v>
      </c>
      <c r="H6" s="5">
        <f>(Productivity[[#This Row],[End Time]]-Productivity[[#This Row],[Start Time]])*24*60</f>
        <v>109.99999999999993</v>
      </c>
      <c r="I6">
        <f>VLOOKUP(Productivity[[#This Row],[Product]],Products[],4,FALSE)</f>
        <v>60</v>
      </c>
      <c r="K6" t="s">
        <v>12</v>
      </c>
      <c r="L6" s="7">
        <v>0.63170731707317074</v>
      </c>
    </row>
    <row r="7" spans="2:12" x14ac:dyDescent="0.25">
      <c r="B7" s="1">
        <v>45533</v>
      </c>
      <c r="C7" t="s">
        <v>8</v>
      </c>
      <c r="D7">
        <v>422114</v>
      </c>
      <c r="E7" t="s">
        <v>7</v>
      </c>
      <c r="F7" s="2">
        <v>0.73263888888888884</v>
      </c>
      <c r="G7" s="2">
        <v>0.80208333333333326</v>
      </c>
      <c r="H7" s="5">
        <f>(Productivity[[#This Row],[End Time]]-Productivity[[#This Row],[Start Time]])*24*60</f>
        <v>99.999999999999972</v>
      </c>
      <c r="I7">
        <f>VLOOKUP(Productivity[[#This Row],[Product]],Products[],4,FALSE)</f>
        <v>60</v>
      </c>
      <c r="K7" t="s">
        <v>7</v>
      </c>
      <c r="L7" s="7">
        <v>0.60941176470588243</v>
      </c>
    </row>
    <row r="8" spans="2:12" x14ac:dyDescent="0.25">
      <c r="B8" s="1">
        <v>45533</v>
      </c>
      <c r="C8" t="s">
        <v>8</v>
      </c>
      <c r="D8">
        <v>422115</v>
      </c>
      <c r="E8" t="s">
        <v>9</v>
      </c>
      <c r="F8" s="2">
        <v>0.80208333333333326</v>
      </c>
      <c r="G8" s="2">
        <v>0.86041666666666661</v>
      </c>
      <c r="H8" s="5">
        <f>(Productivity[[#This Row],[End Time]]-Productivity[[#This Row],[Start Time]])*24*60</f>
        <v>84.000000000000028</v>
      </c>
      <c r="I8">
        <f>VLOOKUP(Productivity[[#This Row],[Product]],Products[],4,FALSE)</f>
        <v>60</v>
      </c>
      <c r="K8" t="s">
        <v>58</v>
      </c>
      <c r="L8" s="7">
        <v>0.64022809745982379</v>
      </c>
    </row>
    <row r="9" spans="2:12" x14ac:dyDescent="0.25">
      <c r="B9" s="1">
        <v>45533</v>
      </c>
      <c r="C9" t="s">
        <v>8</v>
      </c>
      <c r="D9">
        <v>422116</v>
      </c>
      <c r="E9" t="s">
        <v>9</v>
      </c>
      <c r="F9" s="2">
        <v>0.86041666666666661</v>
      </c>
      <c r="G9" s="2">
        <v>0.90208333333333324</v>
      </c>
      <c r="H9" s="5">
        <f>(Productivity[[#This Row],[End Time]]-Productivity[[#This Row],[Start Time]])*24*60</f>
        <v>59.999999999999943</v>
      </c>
      <c r="I9">
        <f>VLOOKUP(Productivity[[#This Row],[Product]],Products[],4,FALSE)</f>
        <v>60</v>
      </c>
    </row>
    <row r="10" spans="2:12" x14ac:dyDescent="0.25">
      <c r="B10" s="1">
        <v>45533</v>
      </c>
      <c r="C10" t="s">
        <v>8</v>
      </c>
      <c r="D10">
        <v>422117</v>
      </c>
      <c r="E10" t="s">
        <v>9</v>
      </c>
      <c r="F10" s="2">
        <v>0.90208333333333324</v>
      </c>
      <c r="G10" s="2">
        <v>0.95416666666666661</v>
      </c>
      <c r="H10" s="5">
        <f>(Productivity[[#This Row],[End Time]]-Productivity[[#This Row],[Start Time]])*24*60</f>
        <v>75.000000000000057</v>
      </c>
      <c r="I10">
        <f>VLOOKUP(Productivity[[#This Row],[Product]],Products[],4,FALSE)</f>
        <v>60</v>
      </c>
    </row>
    <row r="11" spans="2:12" x14ac:dyDescent="0.25">
      <c r="B11" s="1">
        <v>45534</v>
      </c>
      <c r="C11" t="s">
        <v>10</v>
      </c>
      <c r="D11">
        <v>422118</v>
      </c>
      <c r="E11" t="s">
        <v>11</v>
      </c>
      <c r="F11" s="2">
        <v>0.1701388888888889</v>
      </c>
      <c r="G11" s="2">
        <v>0.25347222222222221</v>
      </c>
      <c r="H11" s="5">
        <f>(Productivity[[#This Row],[End Time]]-Productivity[[#This Row],[Start Time]])*24*60</f>
        <v>119.99999999999997</v>
      </c>
      <c r="I11">
        <f>VLOOKUP(Productivity[[#This Row],[Product]],Products[],4,FALSE)</f>
        <v>60</v>
      </c>
    </row>
    <row r="12" spans="2:12" x14ac:dyDescent="0.25">
      <c r="B12" s="1">
        <v>45534</v>
      </c>
      <c r="C12" t="s">
        <v>10</v>
      </c>
      <c r="D12">
        <v>422119</v>
      </c>
      <c r="E12" t="s">
        <v>11</v>
      </c>
      <c r="F12" s="2">
        <v>0.25347222222222221</v>
      </c>
      <c r="G12" s="2">
        <v>0.3125</v>
      </c>
      <c r="H12" s="5">
        <f>(Productivity[[#This Row],[End Time]]-Productivity[[#This Row],[Start Time]])*24*60</f>
        <v>85.000000000000014</v>
      </c>
      <c r="I12">
        <f>VLOOKUP(Productivity[[#This Row],[Product]],Products[],4,FALSE)</f>
        <v>60</v>
      </c>
    </row>
    <row r="13" spans="2:12" x14ac:dyDescent="0.25">
      <c r="B13" s="1">
        <v>45534</v>
      </c>
      <c r="C13" t="s">
        <v>10</v>
      </c>
      <c r="D13">
        <v>422120</v>
      </c>
      <c r="E13" t="s">
        <v>11</v>
      </c>
      <c r="F13" s="2">
        <v>0.3125</v>
      </c>
      <c r="G13" s="2">
        <v>0.39027777777777778</v>
      </c>
      <c r="H13" s="5">
        <f>(Productivity[[#This Row],[End Time]]-Productivity[[#This Row],[Start Time]])*24*60</f>
        <v>112</v>
      </c>
      <c r="I13">
        <f>VLOOKUP(Productivity[[#This Row],[Product]],Products[],4,FALSE)</f>
        <v>60</v>
      </c>
    </row>
    <row r="14" spans="2:12" x14ac:dyDescent="0.25">
      <c r="B14" s="1">
        <v>45534</v>
      </c>
      <c r="C14" t="s">
        <v>10</v>
      </c>
      <c r="D14">
        <v>422121</v>
      </c>
      <c r="E14" t="s">
        <v>12</v>
      </c>
      <c r="F14" s="2">
        <v>0.39027777777777778</v>
      </c>
      <c r="G14" s="2">
        <v>0.44236111111111109</v>
      </c>
      <c r="H14" s="5">
        <f>(Productivity[[#This Row],[End Time]]-Productivity[[#This Row],[Start Time]])*24*60</f>
        <v>74.999999999999972</v>
      </c>
      <c r="I14">
        <f>VLOOKUP(Productivity[[#This Row],[Product]],Products[],4,FALSE)</f>
        <v>60</v>
      </c>
    </row>
    <row r="15" spans="2:12" x14ac:dyDescent="0.25">
      <c r="B15" s="1">
        <v>45534</v>
      </c>
      <c r="C15" t="s">
        <v>10</v>
      </c>
      <c r="D15">
        <v>422122</v>
      </c>
      <c r="E15" t="s">
        <v>12</v>
      </c>
      <c r="F15" s="2">
        <v>0.44236111111111109</v>
      </c>
      <c r="G15" s="2">
        <v>0.50138888888888888</v>
      </c>
      <c r="H15" s="5">
        <f>(Productivity[[#This Row],[End Time]]-Productivity[[#This Row],[Start Time]])*24*60</f>
        <v>85.000000000000014</v>
      </c>
      <c r="I15">
        <f>VLOOKUP(Productivity[[#This Row],[Product]],Products[],4,FALSE)</f>
        <v>60</v>
      </c>
    </row>
    <row r="16" spans="2:12" x14ac:dyDescent="0.25">
      <c r="B16" s="1">
        <v>45534</v>
      </c>
      <c r="C16" t="s">
        <v>10</v>
      </c>
      <c r="D16">
        <v>422123</v>
      </c>
      <c r="E16" t="s">
        <v>12</v>
      </c>
      <c r="F16" s="2">
        <v>0.50138888888888888</v>
      </c>
      <c r="G16" s="2">
        <v>0.59375</v>
      </c>
      <c r="H16" s="5">
        <f>(Productivity[[#This Row],[End Time]]-Productivity[[#This Row],[Start Time]])*24*60</f>
        <v>133</v>
      </c>
      <c r="I16">
        <f>VLOOKUP(Productivity[[#This Row],[Product]],Products[],4,FALSE)</f>
        <v>60</v>
      </c>
    </row>
    <row r="17" spans="2:9" x14ac:dyDescent="0.25">
      <c r="B17" s="1">
        <v>45534</v>
      </c>
      <c r="C17" t="s">
        <v>10</v>
      </c>
      <c r="D17">
        <v>422124</v>
      </c>
      <c r="E17" t="s">
        <v>12</v>
      </c>
      <c r="F17" s="2">
        <v>0.59375</v>
      </c>
      <c r="G17" s="2">
        <v>0.66319444444444442</v>
      </c>
      <c r="H17" s="5">
        <f>(Productivity[[#This Row],[End Time]]-Productivity[[#This Row],[Start Time]])*24*60</f>
        <v>99.999999999999972</v>
      </c>
      <c r="I17">
        <f>VLOOKUP(Productivity[[#This Row],[Product]],Products[],4,FALSE)</f>
        <v>60</v>
      </c>
    </row>
    <row r="18" spans="2:9" x14ac:dyDescent="0.25">
      <c r="B18" s="1">
        <v>45534</v>
      </c>
      <c r="C18" t="s">
        <v>10</v>
      </c>
      <c r="D18">
        <v>422125</v>
      </c>
      <c r="E18" t="s">
        <v>9</v>
      </c>
      <c r="F18" s="2">
        <v>0.66319444444444442</v>
      </c>
      <c r="G18" s="2">
        <v>0.71875</v>
      </c>
      <c r="H18" s="5">
        <f>(Productivity[[#This Row],[End Time]]-Productivity[[#This Row],[Start Time]])*24*60</f>
        <v>80.000000000000028</v>
      </c>
      <c r="I18">
        <f>VLOOKUP(Productivity[[#This Row],[Product]],Products[],4,FALSE)</f>
        <v>60</v>
      </c>
    </row>
    <row r="19" spans="2:9" x14ac:dyDescent="0.25">
      <c r="B19" s="1">
        <v>45534</v>
      </c>
      <c r="C19" t="s">
        <v>10</v>
      </c>
      <c r="D19">
        <v>422126</v>
      </c>
      <c r="E19" t="s">
        <v>9</v>
      </c>
      <c r="F19" s="2">
        <v>0.71875</v>
      </c>
      <c r="G19" s="2">
        <v>0.79097222222222219</v>
      </c>
      <c r="H19" s="5">
        <f>(Productivity[[#This Row],[End Time]]-Productivity[[#This Row],[Start Time]])*24*60</f>
        <v>103.99999999999994</v>
      </c>
      <c r="I19">
        <f>VLOOKUP(Productivity[[#This Row],[Product]],Products[],4,FALSE)</f>
        <v>60</v>
      </c>
    </row>
    <row r="20" spans="2:9" x14ac:dyDescent="0.25">
      <c r="B20" s="1">
        <v>45534</v>
      </c>
      <c r="C20" t="s">
        <v>10</v>
      </c>
      <c r="D20">
        <v>422127</v>
      </c>
      <c r="E20" t="s">
        <v>9</v>
      </c>
      <c r="F20" s="2">
        <v>0.79097222222222219</v>
      </c>
      <c r="G20" s="2">
        <v>0.84861111111111109</v>
      </c>
      <c r="H20" s="5">
        <f>(Productivity[[#This Row],[End Time]]-Productivity[[#This Row],[Start Time]])*24*60</f>
        <v>83.000000000000028</v>
      </c>
      <c r="I20">
        <f>VLOOKUP(Productivity[[#This Row],[Product]],Products[],4,FALSE)</f>
        <v>60</v>
      </c>
    </row>
    <row r="21" spans="2:9" x14ac:dyDescent="0.25">
      <c r="B21" s="1">
        <v>45534</v>
      </c>
      <c r="C21" t="s">
        <v>10</v>
      </c>
      <c r="D21">
        <v>422128</v>
      </c>
      <c r="E21" t="s">
        <v>9</v>
      </c>
      <c r="F21" s="2">
        <v>0.84861111111111109</v>
      </c>
      <c r="G21" s="2">
        <v>0.92638888888888893</v>
      </c>
      <c r="H21" s="5">
        <f>(Productivity[[#This Row],[End Time]]-Productivity[[#This Row],[Start Time]])*24*60</f>
        <v>112.00000000000009</v>
      </c>
      <c r="I21">
        <f>VLOOKUP(Productivity[[#This Row],[Product]],Products[],4,FALSE)</f>
        <v>60</v>
      </c>
    </row>
    <row r="22" spans="2:9" x14ac:dyDescent="0.25">
      <c r="B22" s="1">
        <v>45534</v>
      </c>
      <c r="C22" t="s">
        <v>10</v>
      </c>
      <c r="D22">
        <v>422129</v>
      </c>
      <c r="E22" t="s">
        <v>9</v>
      </c>
      <c r="F22" s="2">
        <v>0.92638888888888893</v>
      </c>
      <c r="G22" s="2">
        <v>0.97847222222222219</v>
      </c>
      <c r="H22" s="5">
        <f>(Productivity[[#This Row],[End Time]]-Productivity[[#This Row],[Start Time]])*24*60</f>
        <v>74.999999999999886</v>
      </c>
      <c r="I22">
        <f>VLOOKUP(Productivity[[#This Row],[Product]],Products[],4,FALSE)</f>
        <v>60</v>
      </c>
    </row>
    <row r="23" spans="2:9" x14ac:dyDescent="0.25">
      <c r="B23" s="1">
        <v>45535</v>
      </c>
      <c r="C23" t="s">
        <v>10</v>
      </c>
      <c r="D23">
        <v>422130</v>
      </c>
      <c r="E23" t="s">
        <v>11</v>
      </c>
      <c r="F23" s="2">
        <v>0.32291666666666669</v>
      </c>
      <c r="G23" s="2">
        <v>0.37847222222222221</v>
      </c>
      <c r="H23" s="5">
        <f>(Productivity[[#This Row],[End Time]]-Productivity[[#This Row],[Start Time]])*24*60</f>
        <v>79.999999999999957</v>
      </c>
      <c r="I23">
        <f>VLOOKUP(Productivity[[#This Row],[Product]],Products[],4,FALSE)</f>
        <v>60</v>
      </c>
    </row>
    <row r="24" spans="2:9" x14ac:dyDescent="0.25">
      <c r="B24" s="1">
        <v>45535</v>
      </c>
      <c r="C24" t="s">
        <v>10</v>
      </c>
      <c r="D24">
        <v>422131</v>
      </c>
      <c r="E24" t="s">
        <v>11</v>
      </c>
      <c r="F24" s="2">
        <v>0.37847222222222221</v>
      </c>
      <c r="G24" s="2">
        <v>0.44097222222222221</v>
      </c>
      <c r="H24" s="5">
        <f>(Productivity[[#This Row],[End Time]]-Productivity[[#This Row],[Start Time]])*24*60</f>
        <v>90</v>
      </c>
      <c r="I24">
        <f>VLOOKUP(Productivity[[#This Row],[Product]],Products[],4,FALSE)</f>
        <v>60</v>
      </c>
    </row>
    <row r="25" spans="2:9" x14ac:dyDescent="0.25">
      <c r="B25" s="1">
        <v>45535</v>
      </c>
      <c r="C25" t="s">
        <v>10</v>
      </c>
      <c r="D25">
        <v>422132</v>
      </c>
      <c r="E25" t="s">
        <v>11</v>
      </c>
      <c r="F25" s="2">
        <v>0.44097222222222221</v>
      </c>
      <c r="G25" s="2">
        <v>0.4826388888888889</v>
      </c>
      <c r="H25" s="5">
        <f>(Productivity[[#This Row],[End Time]]-Productivity[[#This Row],[Start Time]])*24*60</f>
        <v>60.000000000000028</v>
      </c>
      <c r="I25">
        <f>VLOOKUP(Productivity[[#This Row],[Product]],Products[],4,FALSE)</f>
        <v>60</v>
      </c>
    </row>
    <row r="26" spans="2:9" x14ac:dyDescent="0.25">
      <c r="B26" s="1">
        <v>45535</v>
      </c>
      <c r="C26" t="s">
        <v>13</v>
      </c>
      <c r="D26">
        <v>422133</v>
      </c>
      <c r="E26" t="s">
        <v>11</v>
      </c>
      <c r="F26" s="2">
        <v>0.4826388888888889</v>
      </c>
      <c r="G26" s="2">
        <v>0.53819444444444442</v>
      </c>
      <c r="H26" s="5">
        <f>(Productivity[[#This Row],[End Time]]-Productivity[[#This Row],[Start Time]])*24*60</f>
        <v>79.999999999999957</v>
      </c>
      <c r="I26">
        <f>VLOOKUP(Productivity[[#This Row],[Product]],Products[],4,FALSE)</f>
        <v>60</v>
      </c>
    </row>
    <row r="27" spans="2:9" x14ac:dyDescent="0.25">
      <c r="B27" s="1">
        <v>45535</v>
      </c>
      <c r="C27" t="s">
        <v>13</v>
      </c>
      <c r="D27">
        <v>422134</v>
      </c>
      <c r="E27" t="s">
        <v>7</v>
      </c>
      <c r="F27" s="2">
        <v>0.53819444444444442</v>
      </c>
      <c r="G27" s="2">
        <v>0.61458333333333337</v>
      </c>
      <c r="H27" s="5">
        <f>(Productivity[[#This Row],[End Time]]-Productivity[[#This Row],[Start Time]])*24*60</f>
        <v>110.00000000000009</v>
      </c>
      <c r="I27">
        <f>VLOOKUP(Productivity[[#This Row],[Product]],Products[],4,FALSE)</f>
        <v>60</v>
      </c>
    </row>
    <row r="28" spans="2:9" x14ac:dyDescent="0.25">
      <c r="B28" s="1">
        <v>45535</v>
      </c>
      <c r="C28" t="s">
        <v>13</v>
      </c>
      <c r="D28">
        <v>422135</v>
      </c>
      <c r="E28" t="s">
        <v>7</v>
      </c>
      <c r="F28" s="2">
        <v>0.61458333333333337</v>
      </c>
      <c r="G28" s="2">
        <v>0.6875</v>
      </c>
      <c r="H28" s="5">
        <f>(Productivity[[#This Row],[End Time]]-Productivity[[#This Row],[Start Time]])*24*60</f>
        <v>104.99999999999994</v>
      </c>
      <c r="I28">
        <f>VLOOKUP(Productivity[[#This Row],[Product]],Products[],4,FALSE)</f>
        <v>60</v>
      </c>
    </row>
    <row r="29" spans="2:9" x14ac:dyDescent="0.25">
      <c r="B29" s="1">
        <v>45535</v>
      </c>
      <c r="C29" t="s">
        <v>13</v>
      </c>
      <c r="D29">
        <v>422136</v>
      </c>
      <c r="E29" t="s">
        <v>7</v>
      </c>
      <c r="F29" s="2">
        <v>0.6875</v>
      </c>
      <c r="G29" s="2">
        <v>0.72916666666666663</v>
      </c>
      <c r="H29" s="5">
        <f>(Productivity[[#This Row],[End Time]]-Productivity[[#This Row],[Start Time]])*24*60</f>
        <v>59.999999999999943</v>
      </c>
      <c r="I29">
        <f>VLOOKUP(Productivity[[#This Row],[Product]],Products[],4,FALSE)</f>
        <v>60</v>
      </c>
    </row>
    <row r="30" spans="2:9" x14ac:dyDescent="0.25">
      <c r="B30" s="1">
        <v>45537</v>
      </c>
      <c r="C30" t="s">
        <v>14</v>
      </c>
      <c r="D30">
        <v>422137</v>
      </c>
      <c r="E30" t="s">
        <v>11</v>
      </c>
      <c r="F30" s="2">
        <v>4.1666666666666664E-2</v>
      </c>
      <c r="G30" s="2">
        <v>0.11458333333333333</v>
      </c>
      <c r="H30" s="5">
        <f>(Productivity[[#This Row],[End Time]]-Productivity[[#This Row],[Start Time]])*24*60</f>
        <v>104.99999999999999</v>
      </c>
      <c r="I30">
        <f>VLOOKUP(Productivity[[#This Row],[Product]],Products[],4,FALSE)</f>
        <v>60</v>
      </c>
    </row>
    <row r="31" spans="2:9" x14ac:dyDescent="0.25">
      <c r="B31" s="1">
        <v>45537</v>
      </c>
      <c r="C31" t="s">
        <v>14</v>
      </c>
      <c r="D31">
        <v>422138</v>
      </c>
      <c r="E31" t="s">
        <v>11</v>
      </c>
      <c r="F31" s="2">
        <v>0.11458333333333333</v>
      </c>
      <c r="G31" s="2">
        <v>0.1701388888888889</v>
      </c>
      <c r="H31" s="5">
        <f>(Productivity[[#This Row],[End Time]]-Productivity[[#This Row],[Start Time]])*24*60</f>
        <v>80.000000000000014</v>
      </c>
      <c r="I31">
        <f>VLOOKUP(Productivity[[#This Row],[Product]],Products[],4,FALSE)</f>
        <v>60</v>
      </c>
    </row>
    <row r="32" spans="2:9" x14ac:dyDescent="0.25">
      <c r="B32" s="1">
        <v>45537</v>
      </c>
      <c r="C32" t="s">
        <v>14</v>
      </c>
      <c r="D32">
        <v>422139</v>
      </c>
      <c r="E32" t="s">
        <v>11</v>
      </c>
      <c r="F32" s="2">
        <v>0.1701388888888889</v>
      </c>
      <c r="G32" s="2">
        <v>0.2361111111111111</v>
      </c>
      <c r="H32" s="5">
        <f>(Productivity[[#This Row],[End Time]]-Productivity[[#This Row],[Start Time]])*24*60</f>
        <v>94.999999999999986</v>
      </c>
      <c r="I32">
        <f>VLOOKUP(Productivity[[#This Row],[Product]],Products[],4,FALSE)</f>
        <v>60</v>
      </c>
    </row>
    <row r="33" spans="2:9" x14ac:dyDescent="0.25">
      <c r="B33" s="1">
        <v>45537</v>
      </c>
      <c r="C33" t="s">
        <v>14</v>
      </c>
      <c r="D33">
        <v>422140</v>
      </c>
      <c r="E33" t="s">
        <v>11</v>
      </c>
      <c r="F33" s="2">
        <v>0.2361111111111111</v>
      </c>
      <c r="G33" s="2">
        <v>0.3215277777777778</v>
      </c>
      <c r="H33" s="5">
        <f>(Productivity[[#This Row],[End Time]]-Productivity[[#This Row],[Start Time]])*24*60</f>
        <v>123.00000000000004</v>
      </c>
      <c r="I33">
        <f>VLOOKUP(Productivity[[#This Row],[Product]],Products[],4,FALSE)</f>
        <v>60</v>
      </c>
    </row>
    <row r="34" spans="2:9" x14ac:dyDescent="0.25">
      <c r="B34" s="1">
        <v>45537</v>
      </c>
      <c r="C34" t="s">
        <v>14</v>
      </c>
      <c r="D34">
        <v>422141</v>
      </c>
      <c r="E34" t="s">
        <v>12</v>
      </c>
      <c r="F34" s="2">
        <v>0.3215277777777778</v>
      </c>
      <c r="G34" s="2">
        <v>0.36805555555555558</v>
      </c>
      <c r="H34" s="5">
        <f>(Productivity[[#This Row],[End Time]]-Productivity[[#This Row],[Start Time]])*24*60</f>
        <v>67</v>
      </c>
      <c r="I34">
        <f>VLOOKUP(Productivity[[#This Row],[Product]],Products[],4,FALSE)</f>
        <v>60</v>
      </c>
    </row>
    <row r="35" spans="2:9" x14ac:dyDescent="0.25">
      <c r="B35" s="1">
        <v>45537</v>
      </c>
      <c r="C35" t="s">
        <v>14</v>
      </c>
      <c r="D35">
        <v>422142</v>
      </c>
      <c r="E35" t="s">
        <v>12</v>
      </c>
      <c r="F35" s="2">
        <v>0.36805555555555558</v>
      </c>
      <c r="G35" s="2">
        <v>0.43055555555555558</v>
      </c>
      <c r="H35" s="5">
        <f>(Productivity[[#This Row],[End Time]]-Productivity[[#This Row],[Start Time]])*24*60</f>
        <v>90</v>
      </c>
      <c r="I35">
        <f>VLOOKUP(Productivity[[#This Row],[Product]],Products[],4,FALSE)</f>
        <v>60</v>
      </c>
    </row>
    <row r="36" spans="2:9" x14ac:dyDescent="0.25">
      <c r="B36" s="1">
        <v>45537</v>
      </c>
      <c r="C36" t="s">
        <v>14</v>
      </c>
      <c r="D36">
        <v>422143</v>
      </c>
      <c r="E36" t="s">
        <v>12</v>
      </c>
      <c r="F36" s="2">
        <v>0.43055555555555558</v>
      </c>
      <c r="G36" s="2">
        <v>0.51249999999999996</v>
      </c>
      <c r="H36" s="5">
        <f>(Productivity[[#This Row],[End Time]]-Productivity[[#This Row],[Start Time]])*24*60</f>
        <v>117.9999999999999</v>
      </c>
      <c r="I36">
        <f>VLOOKUP(Productivity[[#This Row],[Product]],Products[],4,FALSE)</f>
        <v>60</v>
      </c>
    </row>
    <row r="37" spans="2:9" x14ac:dyDescent="0.25">
      <c r="B37" s="1">
        <v>45537</v>
      </c>
      <c r="C37" t="s">
        <v>15</v>
      </c>
      <c r="D37">
        <v>422144</v>
      </c>
      <c r="E37" t="s">
        <v>12</v>
      </c>
      <c r="F37" s="2">
        <v>0.51249999999999996</v>
      </c>
      <c r="G37" s="2">
        <v>0.61805555555555558</v>
      </c>
      <c r="H37" s="5">
        <f>(Productivity[[#This Row],[End Time]]-Productivity[[#This Row],[Start Time]])*24*60</f>
        <v>152.00000000000011</v>
      </c>
      <c r="I37">
        <f>VLOOKUP(Productivity[[#This Row],[Product]],Products[],4,FALSE)</f>
        <v>98</v>
      </c>
    </row>
    <row r="38" spans="2:9" x14ac:dyDescent="0.25">
      <c r="B38" s="1">
        <v>45537</v>
      </c>
      <c r="C38" t="s">
        <v>15</v>
      </c>
      <c r="D38">
        <v>422145</v>
      </c>
      <c r="E38" t="s">
        <v>9</v>
      </c>
      <c r="F38" s="2">
        <v>0.61805555555555558</v>
      </c>
      <c r="G38" s="2">
        <v>0.70138888888888895</v>
      </c>
      <c r="H38" s="5">
        <f>(Productivity[[#This Row],[End Time]]-Productivity[[#This Row],[Start Time]])*24*60</f>
        <v>120.00000000000006</v>
      </c>
      <c r="I38">
        <f>VLOOKUP(Productivity[[#This Row],[Product]],Products[],4,FALSE)</f>
        <v>98</v>
      </c>
    </row>
    <row r="39" spans="2:9" x14ac:dyDescent="0.25">
      <c r="B39" s="1">
        <v>45537</v>
      </c>
      <c r="C39" t="s">
        <v>15</v>
      </c>
      <c r="D39">
        <v>422146</v>
      </c>
      <c r="E39" t="s">
        <v>9</v>
      </c>
      <c r="F39" s="2">
        <v>0.70138888888888895</v>
      </c>
      <c r="G39" s="2">
        <v>0.8125</v>
      </c>
      <c r="H39" s="5">
        <f>(Productivity[[#This Row],[End Time]]-Productivity[[#This Row],[Start Time]])*24*60</f>
        <v>159.99999999999991</v>
      </c>
      <c r="I39">
        <f>VLOOKUP(Productivity[[#This Row],[Product]],Products[],4,FALSE)</f>
        <v>98</v>
      </c>
    </row>
    <row r="40" spans="2:9" x14ac:dyDescent="0.25">
      <c r="B40" s="1">
        <v>45537</v>
      </c>
      <c r="C40" t="s">
        <v>15</v>
      </c>
      <c r="D40">
        <v>422147</v>
      </c>
      <c r="E40" t="s">
        <v>9</v>
      </c>
      <c r="F40" s="2">
        <v>0.8125</v>
      </c>
      <c r="G40" s="2">
        <v>0.95486111111111116</v>
      </c>
      <c r="H40" s="5">
        <f>(Productivity[[#This Row],[End Time]]-Productivity[[#This Row],[Start Time]])*24*60</f>
        <v>205.00000000000006</v>
      </c>
      <c r="I40">
        <f>VLOOKUP(Productivity[[#This Row],[Product]],Products[],4,FALSE)</f>
        <v>98</v>
      </c>
    </row>
    <row r="41" spans="2:9" x14ac:dyDescent="0.25">
      <c r="B41" s="1">
        <v>45538</v>
      </c>
      <c r="C41" t="s">
        <v>15</v>
      </c>
      <c r="D41">
        <v>422148</v>
      </c>
      <c r="E41" t="s">
        <v>7</v>
      </c>
      <c r="F41" s="2">
        <v>0.95486111111111116</v>
      </c>
      <c r="G41" s="2">
        <v>1.0451388888888888</v>
      </c>
      <c r="H41" s="5">
        <f>(Productivity[[#This Row],[End Time]]-Productivity[[#This Row],[Start Time]])*24*60</f>
        <v>129.99999999999986</v>
      </c>
      <c r="I41">
        <f>VLOOKUP(Productivity[[#This Row],[Product]],Products[],4,FALSE)</f>
        <v>98</v>
      </c>
    </row>
  </sheetData>
  <pageMargins left="0.7" right="0.7" top="0.75" bottom="0.75" header="0.3" footer="0.3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B84E1-0D1D-45D3-B583-36DF8FF3C09B}">
  <dimension ref="B3:E9"/>
  <sheetViews>
    <sheetView workbookViewId="0">
      <selection activeCell="E9" sqref="E9"/>
    </sheetView>
  </sheetViews>
  <sheetFormatPr defaultRowHeight="15" x14ac:dyDescent="0.25"/>
  <cols>
    <col min="2" max="2" width="10" customWidth="1"/>
    <col min="3" max="3" width="11.140625" bestFit="1" customWidth="1"/>
    <col min="5" max="5" width="16.5703125" customWidth="1"/>
  </cols>
  <sheetData>
    <row r="3" spans="2:5" x14ac:dyDescent="0.25">
      <c r="B3" s="4" t="s">
        <v>1</v>
      </c>
      <c r="C3" s="4" t="s">
        <v>16</v>
      </c>
      <c r="D3" s="4" t="s">
        <v>17</v>
      </c>
      <c r="E3" s="4" t="s">
        <v>18</v>
      </c>
    </row>
    <row r="4" spans="2:5" x14ac:dyDescent="0.25">
      <c r="B4" t="s">
        <v>6</v>
      </c>
      <c r="C4" t="s">
        <v>19</v>
      </c>
      <c r="D4" t="s">
        <v>20</v>
      </c>
      <c r="E4">
        <v>60</v>
      </c>
    </row>
    <row r="5" spans="2:5" x14ac:dyDescent="0.25">
      <c r="B5" t="s">
        <v>8</v>
      </c>
      <c r="C5" t="s">
        <v>21</v>
      </c>
      <c r="D5" t="s">
        <v>20</v>
      </c>
      <c r="E5">
        <v>60</v>
      </c>
    </row>
    <row r="6" spans="2:5" x14ac:dyDescent="0.25">
      <c r="B6" t="s">
        <v>10</v>
      </c>
      <c r="C6" t="s">
        <v>22</v>
      </c>
      <c r="D6" t="s">
        <v>20</v>
      </c>
      <c r="E6">
        <v>60</v>
      </c>
    </row>
    <row r="7" spans="2:5" x14ac:dyDescent="0.25">
      <c r="B7" t="s">
        <v>13</v>
      </c>
      <c r="C7" t="s">
        <v>23</v>
      </c>
      <c r="D7" t="s">
        <v>20</v>
      </c>
      <c r="E7">
        <v>60</v>
      </c>
    </row>
    <row r="8" spans="2:5" x14ac:dyDescent="0.25">
      <c r="B8" t="s">
        <v>14</v>
      </c>
      <c r="C8" t="s">
        <v>24</v>
      </c>
      <c r="D8" t="s">
        <v>20</v>
      </c>
      <c r="E8">
        <v>60</v>
      </c>
    </row>
    <row r="9" spans="2:5" x14ac:dyDescent="0.25">
      <c r="B9" t="s">
        <v>15</v>
      </c>
      <c r="C9" t="s">
        <v>22</v>
      </c>
      <c r="D9" t="s">
        <v>25</v>
      </c>
      <c r="E9">
        <v>98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7E3AB-4DAB-464A-8185-D5D9A1B686EE}">
  <dimension ref="B3:G15"/>
  <sheetViews>
    <sheetView workbookViewId="0">
      <selection activeCell="B3" sqref="B3:C8"/>
    </sheetView>
  </sheetViews>
  <sheetFormatPr defaultRowHeight="15" x14ac:dyDescent="0.25"/>
  <cols>
    <col min="2" max="2" width="9.85546875" customWidth="1"/>
    <col min="3" max="3" width="19.28515625" bestFit="1" customWidth="1"/>
    <col min="4" max="4" width="15.85546875" customWidth="1"/>
    <col min="5" max="5" width="13.5703125" customWidth="1"/>
    <col min="6" max="6" width="14.5703125" bestFit="1" customWidth="1"/>
  </cols>
  <sheetData>
    <row r="3" spans="2:7" x14ac:dyDescent="0.25">
      <c r="B3" s="4" t="s">
        <v>26</v>
      </c>
      <c r="C3" s="4" t="s">
        <v>27</v>
      </c>
      <c r="D3" s="4" t="s">
        <v>28</v>
      </c>
      <c r="E3" s="4" t="s">
        <v>60</v>
      </c>
      <c r="F3" s="4" t="s">
        <v>62</v>
      </c>
      <c r="G3" s="4" t="s">
        <v>61</v>
      </c>
    </row>
    <row r="4" spans="2:7" x14ac:dyDescent="0.25">
      <c r="B4">
        <v>6</v>
      </c>
      <c r="C4" t="s">
        <v>36</v>
      </c>
      <c r="D4" t="s">
        <v>32</v>
      </c>
      <c r="E4">
        <f>SUM(INDEX(Table4[[1]:[12]],0,MATCH(TEXT(DTFactor[[#This Row],[Factor]],"0"),Table4[[#Headers],[1]:[12]],0)))</f>
        <v>332</v>
      </c>
      <c r="F4" s="8">
        <f>SUM(DTFactor[[#This Row],[Downtime]]:DTFactor[[#This Row],[Downtime]])/SUM(DTFactor[Downtime])</f>
        <v>0.23919308357348704</v>
      </c>
      <c r="G4" s="9">
        <f>SUMIFS(DTFactor[Downtime %],DTFactor[Downtime],"&gt;="&amp;DTFactor[[#This Row],[Downtime]])</f>
        <v>0.23919308357348704</v>
      </c>
    </row>
    <row r="5" spans="2:7" x14ac:dyDescent="0.25">
      <c r="B5">
        <v>7</v>
      </c>
      <c r="C5" t="s">
        <v>37</v>
      </c>
      <c r="D5" t="s">
        <v>30</v>
      </c>
      <c r="E5">
        <f>SUM(INDEX(Table4[[1]:[12]],0,MATCH(TEXT(DTFactor[[#This Row],[Factor]],"0"),Table4[[#Headers],[1]:[12]],0)))</f>
        <v>254</v>
      </c>
      <c r="F5" s="8">
        <f>SUM(DTFactor[[#This Row],[Downtime]]:DTFactor[[#This Row],[Downtime]])/SUM(DTFactor[Downtime])</f>
        <v>0.18299711815561959</v>
      </c>
      <c r="G5" s="9">
        <f>SUMIFS(DTFactor[Downtime %],DTFactor[Downtime],"&gt;="&amp;DTFactor[[#This Row],[Downtime]])</f>
        <v>0.4221902017291066</v>
      </c>
    </row>
    <row r="6" spans="2:7" x14ac:dyDescent="0.25">
      <c r="B6">
        <v>4</v>
      </c>
      <c r="C6" t="s">
        <v>34</v>
      </c>
      <c r="D6" t="s">
        <v>30</v>
      </c>
      <c r="E6">
        <f>SUM(INDEX(Table4[[1]:[12]],0,MATCH(TEXT(DTFactor[[#This Row],[Factor]],"0"),Table4[[#Headers],[1]:[12]],0)))</f>
        <v>225</v>
      </c>
      <c r="F6" s="8">
        <f>SUM(DTFactor[[#This Row],[Downtime]]:DTFactor[[#This Row],[Downtime]])/SUM(DTFactor[Downtime])</f>
        <v>0.16210374639769454</v>
      </c>
      <c r="G6" s="9">
        <f>SUMIFS(DTFactor[Downtime %],DTFactor[Downtime],"&gt;="&amp;DTFactor[[#This Row],[Downtime]])</f>
        <v>0.58429394812680113</v>
      </c>
    </row>
    <row r="7" spans="2:7" x14ac:dyDescent="0.25">
      <c r="B7">
        <v>2</v>
      </c>
      <c r="C7" t="s">
        <v>31</v>
      </c>
      <c r="D7" t="s">
        <v>32</v>
      </c>
      <c r="E7">
        <f>SUM(INDEX(Table4[[1]:[12]],0,MATCH(TEXT(DTFactor[[#This Row],[Factor]],"0"),Table4[[#Headers],[1]:[12]],0)))</f>
        <v>160</v>
      </c>
      <c r="F7" s="8">
        <f>SUM(DTFactor[[#This Row],[Downtime]]:DTFactor[[#This Row],[Downtime]])/SUM(DTFactor[Downtime])</f>
        <v>0.11527377521613832</v>
      </c>
      <c r="G7" s="9">
        <f>SUMIFS(DTFactor[Downtime %],DTFactor[Downtime],"&gt;="&amp;DTFactor[[#This Row],[Downtime]])</f>
        <v>0.69956772334293948</v>
      </c>
    </row>
    <row r="8" spans="2:7" x14ac:dyDescent="0.25">
      <c r="B8">
        <v>8</v>
      </c>
      <c r="C8" t="s">
        <v>38</v>
      </c>
      <c r="D8" t="s">
        <v>32</v>
      </c>
      <c r="E8">
        <f>SUM(INDEX(Table4[[1]:[12]],0,MATCH(TEXT(DTFactor[[#This Row],[Factor]],"0"),Table4[[#Headers],[1]:[12]],0)))</f>
        <v>145</v>
      </c>
      <c r="F8" s="8">
        <f>SUM(DTFactor[[#This Row],[Downtime]]:DTFactor[[#This Row],[Downtime]])/SUM(DTFactor[Downtime])</f>
        <v>0.10446685878962536</v>
      </c>
      <c r="G8" s="9">
        <f>SUMIFS(DTFactor[Downtime %],DTFactor[Downtime],"&gt;="&amp;DTFactor[[#This Row],[Downtime]])</f>
        <v>0.80403458213256485</v>
      </c>
    </row>
    <row r="9" spans="2:7" x14ac:dyDescent="0.25">
      <c r="B9">
        <v>12</v>
      </c>
      <c r="C9" t="s">
        <v>42</v>
      </c>
      <c r="D9" t="s">
        <v>30</v>
      </c>
      <c r="E9">
        <f>SUM(INDEX(Table4[[1]:[12]],0,MATCH(TEXT(DTFactor[[#This Row],[Factor]],"0"),Table4[[#Headers],[1]:[12]],0)))</f>
        <v>74</v>
      </c>
      <c r="F9" s="8">
        <f>SUM(DTFactor[[#This Row],[Downtime]]:DTFactor[[#This Row],[Downtime]])/SUM(DTFactor[Downtime])</f>
        <v>5.3314121037463975E-2</v>
      </c>
      <c r="G9" s="9">
        <f>SUMIFS(DTFactor[Downtime %],DTFactor[Downtime],"&gt;="&amp;DTFactor[[#This Row],[Downtime]])</f>
        <v>0.85734870317002887</v>
      </c>
    </row>
    <row r="10" spans="2:7" x14ac:dyDescent="0.25">
      <c r="B10">
        <v>5</v>
      </c>
      <c r="C10" t="s">
        <v>35</v>
      </c>
      <c r="D10" t="s">
        <v>32</v>
      </c>
      <c r="E10">
        <f>SUM(INDEX(Table4[[1]:[12]],0,MATCH(TEXT(DTFactor[[#This Row],[Factor]],"0"),Table4[[#Headers],[1]:[12]],0)))</f>
        <v>57</v>
      </c>
      <c r="F10" s="8">
        <f>SUM(DTFactor[[#This Row],[Downtime]]:DTFactor[[#This Row],[Downtime]])/SUM(DTFactor[Downtime])</f>
        <v>4.1066282420749278E-2</v>
      </c>
      <c r="G10" s="9">
        <f>SUMIFS(DTFactor[Downtime %],DTFactor[Downtime],"&gt;="&amp;DTFactor[[#This Row],[Downtime]])</f>
        <v>0.89841498559077815</v>
      </c>
    </row>
    <row r="11" spans="2:7" x14ac:dyDescent="0.25">
      <c r="B11">
        <v>10</v>
      </c>
      <c r="C11" t="s">
        <v>40</v>
      </c>
      <c r="D11" t="s">
        <v>32</v>
      </c>
      <c r="E11">
        <f>SUM(INDEX(Table4[[1]:[12]],0,MATCH(TEXT(DTFactor[[#This Row],[Factor]],"0"),Table4[[#Headers],[1]:[12]],0)))</f>
        <v>49</v>
      </c>
      <c r="F11" s="8">
        <f>SUM(DTFactor[[#This Row],[Downtime]]:DTFactor[[#This Row],[Downtime]])/SUM(DTFactor[Downtime])</f>
        <v>3.5302593659942365E-2</v>
      </c>
      <c r="G11" s="9">
        <f>SUMIFS(DTFactor[Downtime %],DTFactor[Downtime],"&gt;="&amp;DTFactor[[#This Row],[Downtime]])</f>
        <v>0.93371757925072052</v>
      </c>
    </row>
    <row r="12" spans="2:7" x14ac:dyDescent="0.25">
      <c r="B12">
        <v>3</v>
      </c>
      <c r="C12" t="s">
        <v>33</v>
      </c>
      <c r="D12" t="s">
        <v>30</v>
      </c>
      <c r="E12">
        <f>SUM(INDEX(Table4[[1]:[12]],0,MATCH(TEXT(DTFactor[[#This Row],[Factor]],"0"),Table4[[#Headers],[1]:[12]],0)))</f>
        <v>42</v>
      </c>
      <c r="F12" s="8">
        <f>SUM(DTFactor[[#This Row],[Downtime]]:DTFactor[[#This Row],[Downtime]])/SUM(DTFactor[Downtime])</f>
        <v>3.0259365994236311E-2</v>
      </c>
      <c r="G12" s="9">
        <f>SUMIFS(DTFactor[Downtime %],DTFactor[Downtime],"&gt;="&amp;DTFactor[[#This Row],[Downtime]])</f>
        <v>0.96397694524495681</v>
      </c>
    </row>
    <row r="13" spans="2:7" x14ac:dyDescent="0.25">
      <c r="B13">
        <v>11</v>
      </c>
      <c r="C13" t="s">
        <v>41</v>
      </c>
      <c r="D13" t="s">
        <v>32</v>
      </c>
      <c r="E13">
        <f>SUM(INDEX(Table4[[1]:[12]],0,MATCH(TEXT(DTFactor[[#This Row],[Factor]],"0"),Table4[[#Headers],[1]:[12]],0)))</f>
        <v>33</v>
      </c>
      <c r="F13" s="8">
        <f>SUM(DTFactor[[#This Row],[Downtime]]:DTFactor[[#This Row],[Downtime]])/SUM(DTFactor[Downtime])</f>
        <v>2.3775216138328531E-2</v>
      </c>
      <c r="G13" s="9">
        <f>SUMIFS(DTFactor[Downtime %],DTFactor[Downtime],"&gt;="&amp;DTFactor[[#This Row],[Downtime]])</f>
        <v>0.98775216138328537</v>
      </c>
    </row>
    <row r="14" spans="2:7" x14ac:dyDescent="0.25">
      <c r="B14">
        <v>9</v>
      </c>
      <c r="C14" t="s">
        <v>39</v>
      </c>
      <c r="D14" t="s">
        <v>30</v>
      </c>
      <c r="E14">
        <f>SUM(INDEX(Table4[[1]:[12]],0,MATCH(TEXT(DTFactor[[#This Row],[Factor]],"0"),Table4[[#Headers],[1]:[12]],0)))</f>
        <v>17</v>
      </c>
      <c r="F14" s="8">
        <f>SUM(DTFactor[[#This Row],[Downtime]]:DTFactor[[#This Row],[Downtime]])/SUM(DTFactor[Downtime])</f>
        <v>1.2247838616714697E-2</v>
      </c>
      <c r="G14" s="9">
        <f>SUMIFS(DTFactor[Downtime %],DTFactor[Downtime],"&gt;="&amp;DTFactor[[#This Row],[Downtime]])</f>
        <v>1</v>
      </c>
    </row>
    <row r="15" spans="2:7" x14ac:dyDescent="0.25">
      <c r="B15">
        <v>1</v>
      </c>
      <c r="C15" t="s">
        <v>29</v>
      </c>
      <c r="D15" t="s">
        <v>30</v>
      </c>
      <c r="E15">
        <f>SUM(INDEX(Table4[[1]:[12]],0,MATCH(TEXT(DTFactor[[#This Row],[Factor]],"0"),Table4[[#Headers],[1]:[12]],0)))</f>
        <v>0</v>
      </c>
      <c r="F15" s="8">
        <f>SUM(DTFactor[[#This Row],[Downtime]]:DTFactor[[#This Row],[Downtime]])/SUM(DTFactor[Downtime])</f>
        <v>0</v>
      </c>
      <c r="G15" s="9">
        <f>SUMIFS(DTFactor[Downtime %],DTFactor[Downtime],"&gt;="&amp;DTFactor[[#This Row],[Downtime]])</f>
        <v>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161A2D-69AE-4F83-AB06-3B716A532103}">
  <dimension ref="B2:O42"/>
  <sheetViews>
    <sheetView workbookViewId="0">
      <selection activeCell="C5" sqref="C5"/>
    </sheetView>
  </sheetViews>
  <sheetFormatPr defaultRowHeight="15" x14ac:dyDescent="0.25"/>
  <cols>
    <col min="2" max="2" width="8.85546875" customWidth="1"/>
    <col min="3" max="3" width="12.140625" customWidth="1"/>
    <col min="4" max="15" width="5.5703125" customWidth="1"/>
  </cols>
  <sheetData>
    <row r="2" spans="2:15" x14ac:dyDescent="0.25">
      <c r="D2" s="3" t="s">
        <v>43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4" spans="2:15" x14ac:dyDescent="0.25">
      <c r="B4" s="4" t="s">
        <v>2</v>
      </c>
      <c r="C4" s="4" t="s">
        <v>3</v>
      </c>
      <c r="D4" s="4" t="s">
        <v>46</v>
      </c>
      <c r="E4" s="4" t="s">
        <v>47</v>
      </c>
      <c r="F4" s="4" t="s">
        <v>48</v>
      </c>
      <c r="G4" s="4" t="s">
        <v>49</v>
      </c>
      <c r="H4" s="4" t="s">
        <v>50</v>
      </c>
      <c r="I4" s="4" t="s">
        <v>51</v>
      </c>
      <c r="J4" s="4" t="s">
        <v>52</v>
      </c>
      <c r="K4" s="4" t="s">
        <v>53</v>
      </c>
      <c r="L4" s="4" t="s">
        <v>54</v>
      </c>
      <c r="M4" s="4" t="s">
        <v>55</v>
      </c>
      <c r="N4" s="4" t="s">
        <v>56</v>
      </c>
      <c r="O4" s="4" t="s">
        <v>57</v>
      </c>
    </row>
    <row r="5" spans="2:15" x14ac:dyDescent="0.25">
      <c r="B5">
        <v>422111</v>
      </c>
      <c r="C5" t="str">
        <f>INDEX(Productivity[Operator],MATCH(Table4[[#This Row],[Batch]],Productivity[Batch],0))</f>
        <v>Mac</v>
      </c>
      <c r="E5">
        <v>60</v>
      </c>
      <c r="J5">
        <v>15</v>
      </c>
    </row>
    <row r="6" spans="2:15" x14ac:dyDescent="0.25">
      <c r="B6">
        <v>422112</v>
      </c>
      <c r="C6" t="str">
        <f>INDEX(Productivity[Operator],MATCH(Table4[[#This Row],[Batch]],Productivity[Batch],0))</f>
        <v>Mac</v>
      </c>
      <c r="E6">
        <v>20</v>
      </c>
      <c r="K6">
        <v>20</v>
      </c>
    </row>
    <row r="7" spans="2:15" x14ac:dyDescent="0.25">
      <c r="B7">
        <v>422113</v>
      </c>
      <c r="C7" t="str">
        <f>INDEX(Productivity[Operator],MATCH(Table4[[#This Row],[Batch]],Productivity[Batch],0))</f>
        <v>Mac</v>
      </c>
      <c r="E7">
        <v>50</v>
      </c>
    </row>
    <row r="8" spans="2:15" x14ac:dyDescent="0.25">
      <c r="B8">
        <v>422114</v>
      </c>
      <c r="C8" t="str">
        <f>INDEX(Productivity[Operator],MATCH(Table4[[#This Row],[Batch]],Productivity[Batch],0))</f>
        <v>Mac</v>
      </c>
      <c r="G8">
        <v>25</v>
      </c>
      <c r="I8">
        <v>15</v>
      </c>
    </row>
    <row r="9" spans="2:15" x14ac:dyDescent="0.25">
      <c r="B9">
        <v>422115</v>
      </c>
      <c r="C9" t="str">
        <f>INDEX(Productivity[Operator],MATCH(Table4[[#This Row],[Batch]],Productivity[Batch],0))</f>
        <v>Charlie</v>
      </c>
      <c r="M9">
        <v>24</v>
      </c>
    </row>
    <row r="10" spans="2:15" x14ac:dyDescent="0.25">
      <c r="B10">
        <v>422116</v>
      </c>
      <c r="C10" t="str">
        <f>INDEX(Productivity[Operator],MATCH(Table4[[#This Row],[Batch]],Productivity[Batch],0))</f>
        <v>Charlie</v>
      </c>
    </row>
    <row r="11" spans="2:15" x14ac:dyDescent="0.25">
      <c r="B11">
        <v>422117</v>
      </c>
      <c r="C11" t="str">
        <f>INDEX(Productivity[Operator],MATCH(Table4[[#This Row],[Batch]],Productivity[Batch],0))</f>
        <v>Charlie</v>
      </c>
      <c r="E11">
        <v>10</v>
      </c>
      <c r="I11">
        <v>5</v>
      </c>
    </row>
    <row r="12" spans="2:15" x14ac:dyDescent="0.25">
      <c r="B12">
        <v>422118</v>
      </c>
      <c r="C12" t="str">
        <f>INDEX(Productivity[Operator],MATCH(Table4[[#This Row],[Batch]],Productivity[Batch],0))</f>
        <v>Dee</v>
      </c>
      <c r="I12">
        <v>14</v>
      </c>
      <c r="J12">
        <v>16</v>
      </c>
      <c r="N12">
        <v>10</v>
      </c>
      <c r="O12">
        <v>20</v>
      </c>
    </row>
    <row r="13" spans="2:15" x14ac:dyDescent="0.25">
      <c r="B13">
        <v>422119</v>
      </c>
      <c r="C13" t="str">
        <f>INDEX(Productivity[Operator],MATCH(Table4[[#This Row],[Batch]],Productivity[Batch],0))</f>
        <v>Dee</v>
      </c>
      <c r="G13">
        <v>25</v>
      </c>
    </row>
    <row r="14" spans="2:15" x14ac:dyDescent="0.25">
      <c r="B14">
        <v>422120</v>
      </c>
      <c r="C14" t="str">
        <f>INDEX(Productivity[Operator],MATCH(Table4[[#This Row],[Batch]],Productivity[Batch],0))</f>
        <v>Dee</v>
      </c>
      <c r="G14">
        <v>20</v>
      </c>
      <c r="H14">
        <v>15</v>
      </c>
      <c r="L14">
        <v>17</v>
      </c>
    </row>
    <row r="15" spans="2:15" x14ac:dyDescent="0.25">
      <c r="B15">
        <v>422121</v>
      </c>
      <c r="C15" t="str">
        <f>INDEX(Productivity[Operator],MATCH(Table4[[#This Row],[Batch]],Productivity[Batch],0))</f>
        <v>Dennis</v>
      </c>
      <c r="J15">
        <v>15</v>
      </c>
    </row>
    <row r="16" spans="2:15" x14ac:dyDescent="0.25">
      <c r="B16">
        <v>422122</v>
      </c>
      <c r="C16" t="str">
        <f>INDEX(Productivity[Operator],MATCH(Table4[[#This Row],[Batch]],Productivity[Batch],0))</f>
        <v>Dennis</v>
      </c>
      <c r="J16">
        <v>25</v>
      </c>
    </row>
    <row r="17" spans="2:15" x14ac:dyDescent="0.25">
      <c r="B17">
        <v>422123</v>
      </c>
      <c r="C17" t="str">
        <f>INDEX(Productivity[Operator],MATCH(Table4[[#This Row],[Batch]],Productivity[Batch],0))</f>
        <v>Dennis</v>
      </c>
      <c r="G17">
        <v>43</v>
      </c>
      <c r="J17">
        <v>30</v>
      </c>
    </row>
    <row r="18" spans="2:15" x14ac:dyDescent="0.25">
      <c r="B18">
        <v>422124</v>
      </c>
      <c r="C18" t="str">
        <f>INDEX(Productivity[Operator],MATCH(Table4[[#This Row],[Batch]],Productivity[Batch],0))</f>
        <v>Dennis</v>
      </c>
      <c r="H18">
        <v>20</v>
      </c>
      <c r="I18">
        <v>20</v>
      </c>
    </row>
    <row r="19" spans="2:15" x14ac:dyDescent="0.25">
      <c r="B19">
        <v>422125</v>
      </c>
      <c r="C19" t="str">
        <f>INDEX(Productivity[Operator],MATCH(Table4[[#This Row],[Batch]],Productivity[Batch],0))</f>
        <v>Charlie</v>
      </c>
      <c r="N19">
        <v>10</v>
      </c>
      <c r="O19">
        <v>10</v>
      </c>
    </row>
    <row r="20" spans="2:15" x14ac:dyDescent="0.25">
      <c r="B20">
        <v>422126</v>
      </c>
      <c r="C20" t="str">
        <f>INDEX(Productivity[Operator],MATCH(Table4[[#This Row],[Batch]],Productivity[Batch],0))</f>
        <v>Charlie</v>
      </c>
      <c r="K20">
        <v>44</v>
      </c>
    </row>
    <row r="21" spans="2:15" x14ac:dyDescent="0.25">
      <c r="B21">
        <v>422127</v>
      </c>
      <c r="C21" t="str">
        <f>INDEX(Productivity[Operator],MATCH(Table4[[#This Row],[Batch]],Productivity[Batch],0))</f>
        <v>Charlie</v>
      </c>
      <c r="I21">
        <v>23</v>
      </c>
    </row>
    <row r="22" spans="2:15" x14ac:dyDescent="0.25">
      <c r="B22">
        <v>422128</v>
      </c>
      <c r="C22" t="str">
        <f>INDEX(Productivity[Operator],MATCH(Table4[[#This Row],[Batch]],Productivity[Batch],0))</f>
        <v>Charlie</v>
      </c>
      <c r="H22">
        <v>22</v>
      </c>
      <c r="J22">
        <v>30</v>
      </c>
    </row>
    <row r="23" spans="2:15" x14ac:dyDescent="0.25">
      <c r="B23">
        <v>422129</v>
      </c>
      <c r="C23" t="str">
        <f>INDEX(Productivity[Operator],MATCH(Table4[[#This Row],[Batch]],Productivity[Batch],0))</f>
        <v>Charlie</v>
      </c>
      <c r="O23">
        <v>15</v>
      </c>
    </row>
    <row r="24" spans="2:15" x14ac:dyDescent="0.25">
      <c r="B24">
        <v>422130</v>
      </c>
      <c r="C24" t="str">
        <f>INDEX(Productivity[Operator],MATCH(Table4[[#This Row],[Batch]],Productivity[Batch],0))</f>
        <v>Dee</v>
      </c>
      <c r="E24">
        <v>20</v>
      </c>
    </row>
    <row r="25" spans="2:15" x14ac:dyDescent="0.25">
      <c r="B25">
        <v>422131</v>
      </c>
      <c r="C25" t="str">
        <f>INDEX(Productivity[Operator],MATCH(Table4[[#This Row],[Batch]],Productivity[Batch],0))</f>
        <v>Dee</v>
      </c>
      <c r="G25">
        <v>20</v>
      </c>
      <c r="M25">
        <v>10</v>
      </c>
    </row>
    <row r="26" spans="2:15" x14ac:dyDescent="0.25">
      <c r="B26">
        <v>422132</v>
      </c>
      <c r="C26" t="str">
        <f>INDEX(Productivity[Operator],MATCH(Table4[[#This Row],[Batch]],Productivity[Batch],0))</f>
        <v>Dee</v>
      </c>
    </row>
    <row r="27" spans="2:15" x14ac:dyDescent="0.25">
      <c r="B27">
        <v>422133</v>
      </c>
      <c r="C27" t="str">
        <f>INDEX(Productivity[Operator],MATCH(Table4[[#This Row],[Batch]],Productivity[Batch],0))</f>
        <v>Dee</v>
      </c>
      <c r="J27">
        <v>20</v>
      </c>
    </row>
    <row r="28" spans="2:15" x14ac:dyDescent="0.25">
      <c r="B28">
        <v>422134</v>
      </c>
      <c r="C28" t="str">
        <f>INDEX(Productivity[Operator],MATCH(Table4[[#This Row],[Batch]],Productivity[Batch],0))</f>
        <v>Mac</v>
      </c>
      <c r="J28">
        <v>30</v>
      </c>
      <c r="K28">
        <v>20</v>
      </c>
    </row>
    <row r="29" spans="2:15" x14ac:dyDescent="0.25">
      <c r="B29">
        <v>422135</v>
      </c>
      <c r="C29" t="str">
        <f>INDEX(Productivity[Operator],MATCH(Table4[[#This Row],[Batch]],Productivity[Batch],0))</f>
        <v>Mac</v>
      </c>
      <c r="G29">
        <v>30</v>
      </c>
      <c r="O29">
        <v>15</v>
      </c>
    </row>
    <row r="30" spans="2:15" x14ac:dyDescent="0.25">
      <c r="B30">
        <v>422136</v>
      </c>
      <c r="C30" t="str">
        <f>INDEX(Productivity[Operator],MATCH(Table4[[#This Row],[Batch]],Productivity[Batch],0))</f>
        <v>Mac</v>
      </c>
    </row>
    <row r="31" spans="2:15" x14ac:dyDescent="0.25">
      <c r="B31">
        <v>422137</v>
      </c>
      <c r="C31" t="str">
        <f>INDEX(Productivity[Operator],MATCH(Table4[[#This Row],[Batch]],Productivity[Batch],0))</f>
        <v>Dee</v>
      </c>
      <c r="K31">
        <v>30</v>
      </c>
      <c r="M31">
        <v>15</v>
      </c>
    </row>
    <row r="32" spans="2:15" x14ac:dyDescent="0.25">
      <c r="B32">
        <v>422138</v>
      </c>
      <c r="C32" t="str">
        <f>INDEX(Productivity[Operator],MATCH(Table4[[#This Row],[Batch]],Productivity[Batch],0))</f>
        <v>Dee</v>
      </c>
      <c r="F32">
        <v>20</v>
      </c>
    </row>
    <row r="33" spans="2:15" x14ac:dyDescent="0.25">
      <c r="B33">
        <v>422139</v>
      </c>
      <c r="C33" t="str">
        <f>INDEX(Productivity[Operator],MATCH(Table4[[#This Row],[Batch]],Productivity[Batch],0))</f>
        <v>Dee</v>
      </c>
      <c r="G33">
        <v>20</v>
      </c>
      <c r="I33">
        <v>15</v>
      </c>
    </row>
    <row r="34" spans="2:15" x14ac:dyDescent="0.25">
      <c r="B34">
        <v>422140</v>
      </c>
      <c r="C34" t="str">
        <f>INDEX(Productivity[Operator],MATCH(Table4[[#This Row],[Batch]],Productivity[Batch],0))</f>
        <v>Dee</v>
      </c>
      <c r="I34">
        <v>50</v>
      </c>
      <c r="N34">
        <v>13</v>
      </c>
    </row>
    <row r="35" spans="2:15" x14ac:dyDescent="0.25">
      <c r="B35">
        <v>422141</v>
      </c>
      <c r="C35" t="str">
        <f>INDEX(Productivity[Operator],MATCH(Table4[[#This Row],[Batch]],Productivity[Batch],0))</f>
        <v>Dennis</v>
      </c>
      <c r="O35">
        <v>7</v>
      </c>
    </row>
    <row r="36" spans="2:15" x14ac:dyDescent="0.25">
      <c r="B36">
        <v>422142</v>
      </c>
      <c r="C36" t="str">
        <f>INDEX(Productivity[Operator],MATCH(Table4[[#This Row],[Batch]],Productivity[Batch],0))</f>
        <v>Dennis</v>
      </c>
      <c r="I36">
        <v>30</v>
      </c>
    </row>
    <row r="37" spans="2:15" x14ac:dyDescent="0.25">
      <c r="B37">
        <v>422143</v>
      </c>
      <c r="C37" t="str">
        <f>INDEX(Productivity[Operator],MATCH(Table4[[#This Row],[Batch]],Productivity[Batch],0))</f>
        <v>Dennis</v>
      </c>
      <c r="I37">
        <v>40</v>
      </c>
      <c r="J37">
        <v>18</v>
      </c>
    </row>
    <row r="38" spans="2:15" x14ac:dyDescent="0.25">
      <c r="B38">
        <v>422144</v>
      </c>
      <c r="C38" t="str">
        <f>INDEX(Productivity[Operator],MATCH(Table4[[#This Row],[Batch]],Productivity[Batch],0))</f>
        <v>Dennis</v>
      </c>
      <c r="I38">
        <v>30</v>
      </c>
      <c r="K38">
        <v>24</v>
      </c>
    </row>
    <row r="39" spans="2:15" x14ac:dyDescent="0.25">
      <c r="B39">
        <v>422145</v>
      </c>
      <c r="C39" t="str">
        <f>INDEX(Productivity[Operator],MATCH(Table4[[#This Row],[Batch]],Productivity[Batch],0))</f>
        <v>Charlie</v>
      </c>
      <c r="F39">
        <v>22</v>
      </c>
    </row>
    <row r="40" spans="2:15" x14ac:dyDescent="0.25">
      <c r="B40">
        <v>422146</v>
      </c>
      <c r="C40" t="str">
        <f>INDEX(Productivity[Operator],MATCH(Table4[[#This Row],[Batch]],Productivity[Batch],0))</f>
        <v>Charlie</v>
      </c>
      <c r="I40">
        <v>30</v>
      </c>
      <c r="J40">
        <v>25</v>
      </c>
      <c r="O40">
        <v>7</v>
      </c>
    </row>
    <row r="41" spans="2:15" x14ac:dyDescent="0.25">
      <c r="B41">
        <v>422147</v>
      </c>
      <c r="C41" t="str">
        <f>INDEX(Productivity[Operator],MATCH(Table4[[#This Row],[Batch]],Productivity[Batch],0))</f>
        <v>Charlie</v>
      </c>
      <c r="G41">
        <v>17</v>
      </c>
      <c r="I41">
        <v>60</v>
      </c>
      <c r="J41">
        <v>30</v>
      </c>
    </row>
    <row r="42" spans="2:15" x14ac:dyDescent="0.25">
      <c r="B42">
        <v>422148</v>
      </c>
      <c r="C42" t="str">
        <f>INDEX(Productivity[Operator],MATCH(Table4[[#This Row],[Batch]],Productivity[Batch],0))</f>
        <v>Mac</v>
      </c>
      <c r="G42">
        <v>25</v>
      </c>
      <c r="K42">
        <v>7</v>
      </c>
    </row>
  </sheetData>
  <mergeCells count="1">
    <mergeCell ref="D2:O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Report</vt:lpstr>
      <vt:lpstr>Line Productivity</vt:lpstr>
      <vt:lpstr>Products</vt:lpstr>
      <vt:lpstr>Downtime factors</vt:lpstr>
      <vt:lpstr>Line downtime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Arry Weller</dc:creator>
  <cp:lastModifiedBy>Arry Weller</cp:lastModifiedBy>
  <dcterms:created xsi:type="dcterms:W3CDTF">2026-10-06T13:48:21Z</dcterms:created>
  <dcterms:modified xsi:type="dcterms:W3CDTF">2026-10-06T15:10:47Z</dcterms:modified>
</cp:coreProperties>
</file>